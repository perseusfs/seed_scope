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60"/>
  </bookViews>
  <sheets>
    <sheet name="germ_data" sheetId="1" r:id="rId1"/>
    <sheet name="silinenler" sheetId="2" r:id="rId2"/>
  </sheets>
  <definedNames>
    <definedName name="_xlnm._FilterDatabase" localSheetId="0" hidden="1">germ_data!$A$1:$S$1525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<sst xmlns="http://schemas.openxmlformats.org/spreadsheetml/2006/main" count="9473" uniqueCount="218">
  <si>
    <t>site</t>
  </si>
  <si>
    <t>Altitude</t>
  </si>
  <si>
    <t>Productivity</t>
  </si>
  <si>
    <t>abundance</t>
  </si>
  <si>
    <t>familya</t>
  </si>
  <si>
    <t>oldCODE</t>
  </si>
  <si>
    <t>CODE</t>
  </si>
  <si>
    <t>GF</t>
  </si>
  <si>
    <t>treat</t>
  </si>
  <si>
    <t>rep</t>
  </si>
  <si>
    <t>ini_no</t>
  </si>
  <si>
    <t>germ</t>
  </si>
  <si>
    <t>rotten</t>
  </si>
  <si>
    <t>empty</t>
  </si>
  <si>
    <t>dorm</t>
  </si>
  <si>
    <t>TEST</t>
  </si>
  <si>
    <t>GermP</t>
  </si>
  <si>
    <t>DormP</t>
  </si>
  <si>
    <t>GermP_Ort</t>
  </si>
  <si>
    <t>DormP_Ort</t>
  </si>
  <si>
    <t>Viability</t>
  </si>
  <si>
    <t>UG24</t>
  </si>
  <si>
    <t>poaceae</t>
  </si>
  <si>
    <t>TCP</t>
  </si>
  <si>
    <t>TCA</t>
  </si>
  <si>
    <t>ANN</t>
  </si>
  <si>
    <t>cold</t>
  </si>
  <si>
    <t>UG12</t>
  </si>
  <si>
    <t>lamiaceae</t>
  </si>
  <si>
    <t>THY</t>
  </si>
  <si>
    <t>TSI</t>
  </si>
  <si>
    <t>SUB</t>
  </si>
  <si>
    <t>UG19</t>
  </si>
  <si>
    <t>asteraceae</t>
  </si>
  <si>
    <t>XER</t>
  </si>
  <si>
    <t>XAN</t>
  </si>
  <si>
    <t>UG21</t>
  </si>
  <si>
    <t>UG6</t>
  </si>
  <si>
    <t>zygophllaceae</t>
  </si>
  <si>
    <t>ZFA</t>
  </si>
  <si>
    <t>PER</t>
  </si>
  <si>
    <t>UG8</t>
  </si>
  <si>
    <t>UG18</t>
  </si>
  <si>
    <t>apiaceae</t>
  </si>
  <si>
    <t>TOR</t>
  </si>
  <si>
    <t>TUC</t>
  </si>
  <si>
    <t>UG25</t>
  </si>
  <si>
    <t>UG17</t>
  </si>
  <si>
    <t>brassicaceae</t>
  </si>
  <si>
    <t>BIZ</t>
  </si>
  <si>
    <t>ECR</t>
  </si>
  <si>
    <t>BJA</t>
  </si>
  <si>
    <t>caryophyllaceae</t>
  </si>
  <si>
    <t>DIA</t>
  </si>
  <si>
    <t>DOR</t>
  </si>
  <si>
    <t>BID</t>
  </si>
  <si>
    <t>TIM</t>
  </si>
  <si>
    <t>UG9</t>
  </si>
  <si>
    <t>CRY</t>
  </si>
  <si>
    <t>MSC</t>
  </si>
  <si>
    <t>UG20</t>
  </si>
  <si>
    <t>SDI</t>
  </si>
  <si>
    <t>VAR</t>
  </si>
  <si>
    <t>UG3</t>
  </si>
  <si>
    <t>CAR</t>
  </si>
  <si>
    <t>CIC</t>
  </si>
  <si>
    <t>UG15</t>
  </si>
  <si>
    <t>FIL</t>
  </si>
  <si>
    <t>FAR</t>
  </si>
  <si>
    <t>UG4</t>
  </si>
  <si>
    <t>MARX</t>
  </si>
  <si>
    <t>BLA</t>
  </si>
  <si>
    <t>LAM</t>
  </si>
  <si>
    <t>NCO</t>
  </si>
  <si>
    <t>rubiaceae</t>
  </si>
  <si>
    <t>GAL</t>
  </si>
  <si>
    <t>GVE</t>
  </si>
  <si>
    <t>UG10</t>
  </si>
  <si>
    <t>MARY</t>
  </si>
  <si>
    <t>MGL</t>
  </si>
  <si>
    <t>MIN</t>
  </si>
  <si>
    <t>MCO</t>
  </si>
  <si>
    <t>BIM</t>
  </si>
  <si>
    <t>CDI</t>
  </si>
  <si>
    <t>UG23</t>
  </si>
  <si>
    <t>UG16</t>
  </si>
  <si>
    <t>UG22</t>
  </si>
  <si>
    <t>PHA</t>
  </si>
  <si>
    <t>ranunculaceae</t>
  </si>
  <si>
    <t>NIG</t>
  </si>
  <si>
    <t>NAR</t>
  </si>
  <si>
    <t>UG2</t>
  </si>
  <si>
    <t>HHI</t>
  </si>
  <si>
    <t>UG11</t>
  </si>
  <si>
    <t>PHL</t>
  </si>
  <si>
    <t>PAR</t>
  </si>
  <si>
    <t>STAX</t>
  </si>
  <si>
    <t>MPA</t>
  </si>
  <si>
    <t>dipsacaceae</t>
  </si>
  <si>
    <t>SAR</t>
  </si>
  <si>
    <t>SAN</t>
  </si>
  <si>
    <t>SIL</t>
  </si>
  <si>
    <t>SPH</t>
  </si>
  <si>
    <t>cyperaceae</t>
  </si>
  <si>
    <t>JUN</t>
  </si>
  <si>
    <t>CDIV</t>
  </si>
  <si>
    <t>ALO</t>
  </si>
  <si>
    <t>PEX</t>
  </si>
  <si>
    <t>ALY1</t>
  </si>
  <si>
    <t>AST</t>
  </si>
  <si>
    <t>ACH</t>
  </si>
  <si>
    <t>ASA</t>
  </si>
  <si>
    <t>BRI</t>
  </si>
  <si>
    <t>BHU</t>
  </si>
  <si>
    <t>AND</t>
  </si>
  <si>
    <t>CFA</t>
  </si>
  <si>
    <t>AEL</t>
  </si>
  <si>
    <t>UG1</t>
  </si>
  <si>
    <t>UG13</t>
  </si>
  <si>
    <t>BTE</t>
  </si>
  <si>
    <t>UG14</t>
  </si>
  <si>
    <t>UG5</t>
  </si>
  <si>
    <t>UG7</t>
  </si>
  <si>
    <t>ANT</t>
  </si>
  <si>
    <t>ACR</t>
  </si>
  <si>
    <t>ALI</t>
  </si>
  <si>
    <t>AGR</t>
  </si>
  <si>
    <t>MVE</t>
  </si>
  <si>
    <t>ERE</t>
  </si>
  <si>
    <t>EOR</t>
  </si>
  <si>
    <t>juncaceae</t>
  </si>
  <si>
    <t>CRX</t>
  </si>
  <si>
    <t>JHE</t>
  </si>
  <si>
    <t>ODA</t>
  </si>
  <si>
    <t>BIE</t>
  </si>
  <si>
    <t>SCA</t>
  </si>
  <si>
    <t>CVI</t>
  </si>
  <si>
    <t>DGL</t>
  </si>
  <si>
    <t>AMIN</t>
  </si>
  <si>
    <t>ALY3</t>
  </si>
  <si>
    <t>ASTR</t>
  </si>
  <si>
    <t>AMU</t>
  </si>
  <si>
    <t>ALY2</t>
  </si>
  <si>
    <t>ADE</t>
  </si>
  <si>
    <t>fabaceae</t>
  </si>
  <si>
    <t>ASTzimp</t>
  </si>
  <si>
    <t>AMI</t>
  </si>
  <si>
    <t>WOO</t>
  </si>
  <si>
    <t>MAR1</t>
  </si>
  <si>
    <t>MJU</t>
  </si>
  <si>
    <t>SATX</t>
  </si>
  <si>
    <t>STA1</t>
  </si>
  <si>
    <t>HOR</t>
  </si>
  <si>
    <t>HMU</t>
  </si>
  <si>
    <t>POA4</t>
  </si>
  <si>
    <t>AMUT</t>
  </si>
  <si>
    <t>cntrl</t>
  </si>
  <si>
    <t>POA2</t>
  </si>
  <si>
    <t>PBU</t>
  </si>
  <si>
    <t>TPOA</t>
  </si>
  <si>
    <t>AOD</t>
  </si>
  <si>
    <t>FES</t>
  </si>
  <si>
    <t>FVA</t>
  </si>
  <si>
    <t>STI</t>
  </si>
  <si>
    <t>SPU</t>
  </si>
  <si>
    <t>POA5</t>
  </si>
  <si>
    <t>CDIS</t>
  </si>
  <si>
    <t>ALY</t>
  </si>
  <si>
    <t>XXX</t>
  </si>
  <si>
    <t>MAR</t>
  </si>
  <si>
    <t>HBU</t>
  </si>
  <si>
    <t>AEG</t>
  </si>
  <si>
    <t>ATR</t>
  </si>
  <si>
    <t>DIP</t>
  </si>
  <si>
    <t>SRO</t>
  </si>
  <si>
    <t>CER</t>
  </si>
  <si>
    <t>FPOA</t>
  </si>
  <si>
    <t>PAN</t>
  </si>
  <si>
    <t>ASE</t>
  </si>
  <si>
    <t>OBR</t>
  </si>
  <si>
    <t>RUT</t>
  </si>
  <si>
    <t>RSU</t>
  </si>
  <si>
    <t>plumbaginaceae</t>
  </si>
  <si>
    <t>LIM</t>
  </si>
  <si>
    <t>LGL</t>
  </si>
  <si>
    <t>amaranthaceae</t>
  </si>
  <si>
    <t>CAM</t>
  </si>
  <si>
    <t>CMO</t>
  </si>
  <si>
    <t>KPOA</t>
  </si>
  <si>
    <t>AIN</t>
  </si>
  <si>
    <t>GOB</t>
  </si>
  <si>
    <t>malvaceae</t>
  </si>
  <si>
    <t>ALC</t>
  </si>
  <si>
    <t>ACA</t>
  </si>
  <si>
    <t>linaceae</t>
  </si>
  <si>
    <t>HEL</t>
  </si>
  <si>
    <t>LNO</t>
  </si>
  <si>
    <t>cictaceae</t>
  </si>
  <si>
    <t>HLE</t>
  </si>
  <si>
    <t>TCO</t>
  </si>
  <si>
    <t>TCAM</t>
  </si>
  <si>
    <t>TCOzimp</t>
  </si>
  <si>
    <t>TCAMZ</t>
  </si>
  <si>
    <t>ALCzimp</t>
  </si>
  <si>
    <t>HELzimp</t>
  </si>
  <si>
    <t>ALHzimp</t>
  </si>
  <si>
    <t>AMA</t>
  </si>
  <si>
    <t>ASTYzimp</t>
  </si>
  <si>
    <t>APL</t>
  </si>
  <si>
    <t>LTA</t>
  </si>
  <si>
    <t>amaryllidaceae</t>
  </si>
  <si>
    <t>ALL</t>
  </si>
  <si>
    <t>ASC</t>
  </si>
  <si>
    <t>ALLP</t>
  </si>
  <si>
    <t>ALH</t>
  </si>
  <si>
    <t>FABzimp</t>
  </si>
  <si>
    <t>HELBzimp</t>
  </si>
  <si>
    <t>HELB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</si>
</sst>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49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/>
    <xf numFmtId="49" fontId="1" fillId="0" borderId="2" xfId="0" applyNumberFormat="1" applyFont="1" applyBorder="1"/>
    <xf numFmtId="0" fontId="1" fillId="0" borderId="3" xfId="0" applyFont="1" applyBorder="1"/>
    <xf numFmtId="0" fontId="1" fillId="0" borderId="0" xfId="0" applyFont="1"/>
    <xf numFmtId="0" fontId="0" fillId="0" borderId="4" xfId="0" applyFont="1" applyBorder="1" applyAlignment="1"/>
    <xf numFmtId="0" fontId="0" fillId="0" borderId="4" xfId="0" applyFont="1" applyBorder="1" applyAlignment="1"/>
    <xf numFmtId="49" fontId="2" fillId="2" borderId="2" xfId="0" applyNumberFormat="1" applyFont="1" applyFill="1" applyBorder="1"/>
    <xf numFmtId="49" fontId="3" fillId="2" borderId="2" xfId="0" applyNumberFormat="1" applyFont="1" applyFill="1" applyBorder="1"/>
    <xf numFmtId="0" fontId="1" fillId="0" borderId="5" xfId="0" applyFont="1" applyBorder="1"/>
    <xf numFmtId="0" fontId="1" fillId="0" borderId="4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25"/>
  <sheetViews>
    <sheetView showGridLines="0" tabSelected="1" workbookViewId="0">
      <pane ySplit="1" topLeftCell="A2" activePane="bottomLeft" state="frozen"/>
      <selection/>
      <selection pane="bottomLeft" activeCell="T4" sqref="T4"/>
    </sheetView>
  </sheetViews>
  <sheetFormatPr defaultColWidth="14.4259259259259" defaultRowHeight="15" customHeight="1"/>
  <cols>
    <col min="1" max="2" width="9" customWidth="1"/>
    <col min="3" max="3" width="13.287037037037" customWidth="1"/>
    <col min="4" max="4" width="9" customWidth="1"/>
    <col min="5" max="5" width="15.8611111111111" customWidth="1"/>
    <col min="6" max="9" width="8.71296296296296" customWidth="1"/>
    <col min="10" max="11" width="8.28703703703704" customWidth="1"/>
    <col min="12" max="12" width="9.86111111111111" customWidth="1"/>
    <col min="13" max="18" width="9" customWidth="1"/>
    <col min="19" max="19" width="11.5740740740741" customWidth="1"/>
    <col min="20" max="20" width="14.4259259259259" style="7"/>
    <col min="21" max="21" width="14.4259259259259" style="8"/>
  </cols>
  <sheetData>
    <row r="1" ht="15.75" customHeight="1" spans="1:21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1" t="s">
        <v>18</v>
      </c>
      <c r="T1" s="12" t="s">
        <v>19</v>
      </c>
      <c r="U1" s="8" t="s">
        <v>20</v>
      </c>
    </row>
    <row r="2" ht="13.5" customHeight="1" spans="1:21">
      <c r="A2" s="4" t="s">
        <v>21</v>
      </c>
      <c r="B2" s="3">
        <v>1236</v>
      </c>
      <c r="C2" s="3">
        <v>8460</v>
      </c>
      <c r="D2" s="3">
        <v>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3">
        <v>1</v>
      </c>
      <c r="K2" s="3">
        <v>25</v>
      </c>
      <c r="L2" s="3">
        <v>14</v>
      </c>
      <c r="M2" s="3">
        <v>0</v>
      </c>
      <c r="N2" s="3">
        <v>4</v>
      </c>
      <c r="O2" s="3">
        <v>7</v>
      </c>
      <c r="P2" s="3">
        <f t="shared" ref="P2:P1525" si="0">K2-(SUM(L2:O2))</f>
        <v>0</v>
      </c>
      <c r="Q2" s="3">
        <f t="shared" ref="Q2:Q1525" si="1">(L2/(K2-N2))*100</f>
        <v>66.6666666666667</v>
      </c>
      <c r="R2" s="3">
        <f t="shared" ref="R2:R1525" si="2">(O2/(K2-N2))*100</f>
        <v>33.3333333333333</v>
      </c>
      <c r="S2" s="11">
        <f>AVERAGE(Q2:Q5)</f>
        <v>74.25</v>
      </c>
      <c r="T2" s="7">
        <f>AVERAGE(R2:R5)</f>
        <v>25.75</v>
      </c>
      <c r="U2" s="8">
        <f>(L2+L3+L4+L5+O2+O3+O4+O5)/(K2+K3+K4+K5)*100</f>
        <v>94</v>
      </c>
    </row>
    <row r="3" ht="13.5" customHeight="1" spans="1:19">
      <c r="A3" s="4" t="s">
        <v>21</v>
      </c>
      <c r="B3" s="3">
        <v>1236</v>
      </c>
      <c r="C3" s="3">
        <v>8460</v>
      </c>
      <c r="D3" s="3">
        <v>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3">
        <v>2</v>
      </c>
      <c r="K3" s="3">
        <v>25</v>
      </c>
      <c r="L3" s="3">
        <v>18</v>
      </c>
      <c r="M3" s="3">
        <v>0</v>
      </c>
      <c r="N3" s="3">
        <v>1</v>
      </c>
      <c r="O3" s="3">
        <v>6</v>
      </c>
      <c r="P3" s="3">
        <f t="shared" si="0"/>
        <v>0</v>
      </c>
      <c r="Q3" s="3">
        <f t="shared" si="1"/>
        <v>75</v>
      </c>
      <c r="R3" s="3">
        <f t="shared" si="2"/>
        <v>25</v>
      </c>
      <c r="S3" s="11"/>
    </row>
    <row r="4" ht="13.5" customHeight="1" spans="1:19">
      <c r="A4" s="4" t="s">
        <v>21</v>
      </c>
      <c r="B4" s="3">
        <v>1236</v>
      </c>
      <c r="C4" s="3">
        <v>8460</v>
      </c>
      <c r="D4" s="3">
        <v>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3">
        <v>3</v>
      </c>
      <c r="K4" s="3">
        <v>25</v>
      </c>
      <c r="L4" s="3">
        <v>18</v>
      </c>
      <c r="M4" s="3">
        <v>0</v>
      </c>
      <c r="N4" s="3">
        <v>0</v>
      </c>
      <c r="O4" s="3">
        <v>7</v>
      </c>
      <c r="P4" s="3">
        <f t="shared" si="0"/>
        <v>0</v>
      </c>
      <c r="Q4" s="3">
        <f t="shared" si="1"/>
        <v>72</v>
      </c>
      <c r="R4" s="3">
        <f t="shared" si="2"/>
        <v>28</v>
      </c>
      <c r="S4" s="11"/>
    </row>
    <row r="5" ht="13.5" customHeight="1" spans="1:19">
      <c r="A5" s="4" t="s">
        <v>21</v>
      </c>
      <c r="B5" s="3">
        <v>1236</v>
      </c>
      <c r="C5" s="3">
        <v>8460</v>
      </c>
      <c r="D5" s="3">
        <v>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3">
        <v>4</v>
      </c>
      <c r="K5" s="3">
        <v>25</v>
      </c>
      <c r="L5" s="3">
        <v>20</v>
      </c>
      <c r="M5" s="3">
        <v>0</v>
      </c>
      <c r="N5" s="3">
        <v>1</v>
      </c>
      <c r="O5" s="3">
        <v>4</v>
      </c>
      <c r="P5" s="3">
        <f t="shared" si="0"/>
        <v>0</v>
      </c>
      <c r="Q5" s="3">
        <f t="shared" si="1"/>
        <v>83.3333333333333</v>
      </c>
      <c r="R5" s="3">
        <f t="shared" si="2"/>
        <v>16.6666666666667</v>
      </c>
      <c r="S5" s="11"/>
    </row>
    <row r="6" ht="13.5" customHeight="1" spans="1:21">
      <c r="A6" s="4" t="s">
        <v>27</v>
      </c>
      <c r="B6" s="3">
        <v>1204</v>
      </c>
      <c r="C6" s="3">
        <v>7100</v>
      </c>
      <c r="D6" s="3">
        <v>2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26</v>
      </c>
      <c r="J6" s="3">
        <v>1</v>
      </c>
      <c r="K6" s="3">
        <v>25</v>
      </c>
      <c r="L6" s="3">
        <v>3</v>
      </c>
      <c r="M6" s="3">
        <v>1</v>
      </c>
      <c r="N6" s="3">
        <v>20</v>
      </c>
      <c r="O6" s="3">
        <v>1</v>
      </c>
      <c r="P6" s="3">
        <f t="shared" si="0"/>
        <v>0</v>
      </c>
      <c r="Q6" s="3">
        <f t="shared" si="1"/>
        <v>60</v>
      </c>
      <c r="R6" s="3">
        <f t="shared" si="2"/>
        <v>20</v>
      </c>
      <c r="S6" s="11">
        <f>AVERAGE(Q6:Q9)</f>
        <v>54.8251748251748</v>
      </c>
      <c r="T6" s="7">
        <f>AVERAGE(R6:R9)</f>
        <v>5</v>
      </c>
      <c r="U6" s="8">
        <f>(L6+L7+L8+L9+O6+O7+O8+O9)/(K6+K7+K8+K9)*100</f>
        <v>19</v>
      </c>
    </row>
    <row r="7" ht="13.5" customHeight="1" spans="1:19">
      <c r="A7" s="4" t="s">
        <v>27</v>
      </c>
      <c r="B7" s="3">
        <v>1204</v>
      </c>
      <c r="C7" s="3">
        <v>7100</v>
      </c>
      <c r="D7" s="3">
        <v>2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26</v>
      </c>
      <c r="J7" s="3">
        <v>2</v>
      </c>
      <c r="K7" s="3">
        <v>25</v>
      </c>
      <c r="L7" s="3">
        <v>5</v>
      </c>
      <c r="M7" s="3">
        <v>6</v>
      </c>
      <c r="N7" s="3">
        <v>14</v>
      </c>
      <c r="O7" s="3">
        <v>0</v>
      </c>
      <c r="P7" s="3">
        <f t="shared" si="0"/>
        <v>0</v>
      </c>
      <c r="Q7" s="3">
        <f t="shared" si="1"/>
        <v>45.4545454545455</v>
      </c>
      <c r="R7" s="3">
        <f t="shared" si="2"/>
        <v>0</v>
      </c>
      <c r="S7" s="11"/>
    </row>
    <row r="8" ht="13.5" customHeight="1" spans="1:19">
      <c r="A8" s="4" t="s">
        <v>27</v>
      </c>
      <c r="B8" s="3">
        <v>1204</v>
      </c>
      <c r="C8" s="3">
        <v>7100</v>
      </c>
      <c r="D8" s="3">
        <v>2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26</v>
      </c>
      <c r="J8" s="3">
        <v>3</v>
      </c>
      <c r="K8" s="3">
        <v>25</v>
      </c>
      <c r="L8" s="3">
        <v>7</v>
      </c>
      <c r="M8" s="3">
        <v>6</v>
      </c>
      <c r="N8" s="3">
        <v>12</v>
      </c>
      <c r="O8" s="3">
        <v>0</v>
      </c>
      <c r="P8" s="3">
        <f t="shared" si="0"/>
        <v>0</v>
      </c>
      <c r="Q8" s="3">
        <f t="shared" si="1"/>
        <v>53.8461538461538</v>
      </c>
      <c r="R8" s="3">
        <f t="shared" si="2"/>
        <v>0</v>
      </c>
      <c r="S8" s="11"/>
    </row>
    <row r="9" ht="13.5" customHeight="1" spans="1:19">
      <c r="A9" s="4" t="s">
        <v>27</v>
      </c>
      <c r="B9" s="3">
        <v>1204</v>
      </c>
      <c r="C9" s="3">
        <v>7100</v>
      </c>
      <c r="D9" s="3">
        <v>2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26</v>
      </c>
      <c r="J9" s="3">
        <v>4</v>
      </c>
      <c r="K9" s="3">
        <v>25</v>
      </c>
      <c r="L9" s="3">
        <v>3</v>
      </c>
      <c r="M9" s="3">
        <v>2</v>
      </c>
      <c r="N9" s="3">
        <v>20</v>
      </c>
      <c r="O9" s="3">
        <v>0</v>
      </c>
      <c r="P9" s="3">
        <f t="shared" si="0"/>
        <v>0</v>
      </c>
      <c r="Q9" s="3">
        <f t="shared" si="1"/>
        <v>60</v>
      </c>
      <c r="R9" s="3">
        <f t="shared" si="2"/>
        <v>0</v>
      </c>
      <c r="S9" s="11"/>
    </row>
    <row r="10" ht="13.5" customHeight="1" spans="1:21">
      <c r="A10" s="4" t="s">
        <v>32</v>
      </c>
      <c r="B10" s="3">
        <v>1342</v>
      </c>
      <c r="C10" s="3">
        <v>9074</v>
      </c>
      <c r="D10" s="3">
        <v>0.1</v>
      </c>
      <c r="E10" s="4" t="s">
        <v>33</v>
      </c>
      <c r="F10" s="4" t="s">
        <v>34</v>
      </c>
      <c r="G10" s="4" t="s">
        <v>35</v>
      </c>
      <c r="H10" s="4" t="s">
        <v>25</v>
      </c>
      <c r="I10" s="4" t="s">
        <v>26</v>
      </c>
      <c r="J10" s="3">
        <v>1</v>
      </c>
      <c r="K10" s="3">
        <v>25</v>
      </c>
      <c r="L10" s="3">
        <v>21</v>
      </c>
      <c r="M10" s="3">
        <v>4</v>
      </c>
      <c r="N10" s="3">
        <v>0</v>
      </c>
      <c r="O10" s="3">
        <v>0</v>
      </c>
      <c r="P10" s="3">
        <f t="shared" si="0"/>
        <v>0</v>
      </c>
      <c r="Q10" s="3">
        <f t="shared" si="1"/>
        <v>84</v>
      </c>
      <c r="R10" s="3">
        <f t="shared" si="2"/>
        <v>0</v>
      </c>
      <c r="S10" s="11">
        <f>AVERAGE(Q10:Q13)</f>
        <v>93</v>
      </c>
      <c r="T10" s="7">
        <f>AVERAGE(R10:R13)</f>
        <v>0</v>
      </c>
      <c r="U10" s="8">
        <f>(L10+L11+L12+L13+O10+O11+O12+O13)/(K10+K11+K12+K13)*100</f>
        <v>89</v>
      </c>
    </row>
    <row r="11" ht="13.5" customHeight="1" spans="1:19">
      <c r="A11" s="4" t="s">
        <v>32</v>
      </c>
      <c r="B11" s="3">
        <v>1342</v>
      </c>
      <c r="C11" s="3">
        <v>9074</v>
      </c>
      <c r="D11" s="3">
        <v>0.1</v>
      </c>
      <c r="E11" s="4" t="s">
        <v>33</v>
      </c>
      <c r="F11" s="4" t="s">
        <v>34</v>
      </c>
      <c r="G11" s="4" t="s">
        <v>35</v>
      </c>
      <c r="H11" s="4" t="s">
        <v>25</v>
      </c>
      <c r="I11" s="4" t="s">
        <v>26</v>
      </c>
      <c r="J11" s="3">
        <v>2</v>
      </c>
      <c r="K11" s="3">
        <v>25</v>
      </c>
      <c r="L11" s="3">
        <v>25</v>
      </c>
      <c r="M11" s="3">
        <v>0</v>
      </c>
      <c r="N11" s="3">
        <v>0</v>
      </c>
      <c r="O11" s="3">
        <v>0</v>
      </c>
      <c r="P11" s="3">
        <f t="shared" si="0"/>
        <v>0</v>
      </c>
      <c r="Q11" s="3">
        <f t="shared" si="1"/>
        <v>100</v>
      </c>
      <c r="R11" s="3">
        <f t="shared" si="2"/>
        <v>0</v>
      </c>
      <c r="S11" s="11"/>
    </row>
    <row r="12" ht="13.5" customHeight="1" spans="1:19">
      <c r="A12" s="4" t="s">
        <v>32</v>
      </c>
      <c r="B12" s="3">
        <v>1342</v>
      </c>
      <c r="C12" s="3">
        <v>9074</v>
      </c>
      <c r="D12" s="3">
        <v>0.1</v>
      </c>
      <c r="E12" s="4" t="s">
        <v>33</v>
      </c>
      <c r="F12" s="4" t="s">
        <v>34</v>
      </c>
      <c r="G12" s="4" t="s">
        <v>35</v>
      </c>
      <c r="H12" s="4" t="s">
        <v>25</v>
      </c>
      <c r="I12" s="4" t="s">
        <v>26</v>
      </c>
      <c r="J12" s="3">
        <v>3</v>
      </c>
      <c r="K12" s="3">
        <v>25</v>
      </c>
      <c r="L12" s="3">
        <v>22</v>
      </c>
      <c r="M12" s="3">
        <v>3</v>
      </c>
      <c r="N12" s="3">
        <v>0</v>
      </c>
      <c r="O12" s="3">
        <v>0</v>
      </c>
      <c r="P12" s="3">
        <f t="shared" si="0"/>
        <v>0</v>
      </c>
      <c r="Q12" s="3">
        <f t="shared" si="1"/>
        <v>88</v>
      </c>
      <c r="R12" s="3">
        <f t="shared" si="2"/>
        <v>0</v>
      </c>
      <c r="S12" s="11"/>
    </row>
    <row r="13" ht="13.5" customHeight="1" spans="1:19">
      <c r="A13" s="4" t="s">
        <v>32</v>
      </c>
      <c r="B13" s="3">
        <v>1342</v>
      </c>
      <c r="C13" s="3">
        <v>9074</v>
      </c>
      <c r="D13" s="3">
        <v>0.1</v>
      </c>
      <c r="E13" s="4" t="s">
        <v>33</v>
      </c>
      <c r="F13" s="4" t="s">
        <v>34</v>
      </c>
      <c r="G13" s="4" t="s">
        <v>35</v>
      </c>
      <c r="H13" s="4" t="s">
        <v>25</v>
      </c>
      <c r="I13" s="4" t="s">
        <v>26</v>
      </c>
      <c r="J13" s="3">
        <v>4</v>
      </c>
      <c r="K13" s="3">
        <v>25</v>
      </c>
      <c r="L13" s="3">
        <v>21</v>
      </c>
      <c r="M13" s="3">
        <v>0</v>
      </c>
      <c r="N13" s="3">
        <v>4</v>
      </c>
      <c r="O13" s="3">
        <v>0</v>
      </c>
      <c r="P13" s="3">
        <f t="shared" si="0"/>
        <v>0</v>
      </c>
      <c r="Q13" s="3">
        <f t="shared" si="1"/>
        <v>100</v>
      </c>
      <c r="R13" s="3">
        <f t="shared" si="2"/>
        <v>0</v>
      </c>
      <c r="S13" s="11"/>
    </row>
    <row r="14" ht="13.5" customHeight="1" spans="1:21">
      <c r="A14" s="4" t="s">
        <v>36</v>
      </c>
      <c r="B14" s="3">
        <v>1294</v>
      </c>
      <c r="C14" s="3">
        <v>8842</v>
      </c>
      <c r="D14" s="3">
        <v>0.1</v>
      </c>
      <c r="E14" s="4" t="s">
        <v>22</v>
      </c>
      <c r="F14" s="4" t="s">
        <v>23</v>
      </c>
      <c r="G14" s="4" t="s">
        <v>24</v>
      </c>
      <c r="H14" s="4" t="s">
        <v>25</v>
      </c>
      <c r="I14" s="4" t="s">
        <v>26</v>
      </c>
      <c r="J14" s="3">
        <v>1</v>
      </c>
      <c r="K14" s="3">
        <v>25</v>
      </c>
      <c r="L14" s="3">
        <v>24</v>
      </c>
      <c r="M14" s="3">
        <v>0</v>
      </c>
      <c r="N14" s="3">
        <v>0</v>
      </c>
      <c r="O14" s="3">
        <v>1</v>
      </c>
      <c r="P14" s="3">
        <f t="shared" si="0"/>
        <v>0</v>
      </c>
      <c r="Q14" s="3">
        <f t="shared" si="1"/>
        <v>96</v>
      </c>
      <c r="R14" s="3">
        <f t="shared" si="2"/>
        <v>4</v>
      </c>
      <c r="S14" s="11">
        <f>AVERAGE(Q14:Q17)</f>
        <v>95</v>
      </c>
      <c r="T14" s="7">
        <f>AVERAGE(R14:R17)</f>
        <v>5</v>
      </c>
      <c r="U14" s="8">
        <f>(L14+L15+L16+L17+O14+O15+O16+O17)/(K14+K15+K16+K17)*100</f>
        <v>100</v>
      </c>
    </row>
    <row r="15" ht="13.5" customHeight="1" spans="1:19">
      <c r="A15" s="4" t="s">
        <v>36</v>
      </c>
      <c r="B15" s="3">
        <v>1294</v>
      </c>
      <c r="C15" s="3">
        <v>8842</v>
      </c>
      <c r="D15" s="3">
        <v>0.1</v>
      </c>
      <c r="E15" s="4" t="s">
        <v>22</v>
      </c>
      <c r="F15" s="4" t="s">
        <v>23</v>
      </c>
      <c r="G15" s="4" t="s">
        <v>24</v>
      </c>
      <c r="H15" s="4" t="s">
        <v>25</v>
      </c>
      <c r="I15" s="4" t="s">
        <v>26</v>
      </c>
      <c r="J15" s="3">
        <v>2</v>
      </c>
      <c r="K15" s="3">
        <v>25</v>
      </c>
      <c r="L15" s="3">
        <v>23</v>
      </c>
      <c r="M15" s="3">
        <v>0</v>
      </c>
      <c r="N15" s="3">
        <v>0</v>
      </c>
      <c r="O15" s="3">
        <v>2</v>
      </c>
      <c r="P15" s="3">
        <f t="shared" si="0"/>
        <v>0</v>
      </c>
      <c r="Q15" s="3">
        <f t="shared" si="1"/>
        <v>92</v>
      </c>
      <c r="R15" s="3">
        <f t="shared" si="2"/>
        <v>8</v>
      </c>
      <c r="S15" s="11"/>
    </row>
    <row r="16" ht="13.5" customHeight="1" spans="1:19">
      <c r="A16" s="4" t="s">
        <v>36</v>
      </c>
      <c r="B16" s="3">
        <v>1294</v>
      </c>
      <c r="C16" s="3">
        <v>8842</v>
      </c>
      <c r="D16" s="3">
        <v>0.1</v>
      </c>
      <c r="E16" s="4" t="s">
        <v>22</v>
      </c>
      <c r="F16" s="4" t="s">
        <v>23</v>
      </c>
      <c r="G16" s="4" t="s">
        <v>24</v>
      </c>
      <c r="H16" s="4" t="s">
        <v>25</v>
      </c>
      <c r="I16" s="4" t="s">
        <v>26</v>
      </c>
      <c r="J16" s="3">
        <v>3</v>
      </c>
      <c r="K16" s="3">
        <v>25</v>
      </c>
      <c r="L16" s="3">
        <v>24</v>
      </c>
      <c r="M16" s="3">
        <v>0</v>
      </c>
      <c r="N16" s="3">
        <v>0</v>
      </c>
      <c r="O16" s="3">
        <v>1</v>
      </c>
      <c r="P16" s="3">
        <f t="shared" si="0"/>
        <v>0</v>
      </c>
      <c r="Q16" s="3">
        <f t="shared" si="1"/>
        <v>96</v>
      </c>
      <c r="R16" s="3">
        <f t="shared" si="2"/>
        <v>4</v>
      </c>
      <c r="S16" s="11"/>
    </row>
    <row r="17" ht="13.5" customHeight="1" spans="1:19">
      <c r="A17" s="4" t="s">
        <v>36</v>
      </c>
      <c r="B17" s="3">
        <v>1294</v>
      </c>
      <c r="C17" s="3">
        <v>8842</v>
      </c>
      <c r="D17" s="3">
        <v>0.1</v>
      </c>
      <c r="E17" s="4" t="s">
        <v>22</v>
      </c>
      <c r="F17" s="4" t="s">
        <v>23</v>
      </c>
      <c r="G17" s="4" t="s">
        <v>24</v>
      </c>
      <c r="H17" s="4" t="s">
        <v>25</v>
      </c>
      <c r="I17" s="4" t="s">
        <v>26</v>
      </c>
      <c r="J17" s="3">
        <v>4</v>
      </c>
      <c r="K17" s="3">
        <v>25</v>
      </c>
      <c r="L17" s="3">
        <v>24</v>
      </c>
      <c r="M17" s="3">
        <v>0</v>
      </c>
      <c r="N17" s="3">
        <v>0</v>
      </c>
      <c r="O17" s="3">
        <v>1</v>
      </c>
      <c r="P17" s="3">
        <f t="shared" si="0"/>
        <v>0</v>
      </c>
      <c r="Q17" s="3">
        <f t="shared" si="1"/>
        <v>96</v>
      </c>
      <c r="R17" s="3">
        <f t="shared" si="2"/>
        <v>4</v>
      </c>
      <c r="S17" s="11"/>
    </row>
    <row r="18" ht="13.5" customHeight="1" spans="1:21">
      <c r="A18" s="4" t="s">
        <v>37</v>
      </c>
      <c r="B18" s="3">
        <v>1016</v>
      </c>
      <c r="C18" s="3">
        <v>5657</v>
      </c>
      <c r="D18" s="3">
        <v>3</v>
      </c>
      <c r="E18" s="4" t="s">
        <v>38</v>
      </c>
      <c r="F18" s="4" t="s">
        <v>39</v>
      </c>
      <c r="G18" s="4" t="s">
        <v>39</v>
      </c>
      <c r="H18" s="4" t="s">
        <v>40</v>
      </c>
      <c r="I18" s="4" t="s">
        <v>26</v>
      </c>
      <c r="J18" s="3">
        <v>1</v>
      </c>
      <c r="K18" s="3">
        <v>25</v>
      </c>
      <c r="L18" s="3">
        <v>18</v>
      </c>
      <c r="M18" s="3">
        <v>0</v>
      </c>
      <c r="N18" s="3">
        <v>0</v>
      </c>
      <c r="O18" s="3">
        <v>7</v>
      </c>
      <c r="P18" s="3">
        <f t="shared" si="0"/>
        <v>0</v>
      </c>
      <c r="Q18" s="3">
        <f t="shared" si="1"/>
        <v>72</v>
      </c>
      <c r="R18" s="3">
        <f t="shared" si="2"/>
        <v>28</v>
      </c>
      <c r="S18" s="11">
        <f>AVERAGE(Q18:Q21)</f>
        <v>81</v>
      </c>
      <c r="T18" s="7">
        <f>AVERAGE(R18:R21)</f>
        <v>13</v>
      </c>
      <c r="U18" s="8">
        <f>(L18+L19+L20+L21+O18+O19+O20+O21)/(K18+K19+K20+K21)*100</f>
        <v>94</v>
      </c>
    </row>
    <row r="19" ht="13.5" customHeight="1" spans="1:19">
      <c r="A19" s="4" t="s">
        <v>37</v>
      </c>
      <c r="B19" s="3">
        <v>1016</v>
      </c>
      <c r="C19" s="3">
        <v>5657</v>
      </c>
      <c r="D19" s="3">
        <v>3</v>
      </c>
      <c r="E19" s="4" t="s">
        <v>38</v>
      </c>
      <c r="F19" s="4" t="s">
        <v>39</v>
      </c>
      <c r="G19" s="4" t="s">
        <v>39</v>
      </c>
      <c r="H19" s="4" t="s">
        <v>40</v>
      </c>
      <c r="I19" s="4" t="s">
        <v>26</v>
      </c>
      <c r="J19" s="3">
        <v>2</v>
      </c>
      <c r="K19" s="3">
        <v>25</v>
      </c>
      <c r="L19" s="3">
        <v>21</v>
      </c>
      <c r="M19" s="3">
        <v>0</v>
      </c>
      <c r="N19" s="3">
        <v>0</v>
      </c>
      <c r="O19" s="3">
        <v>4</v>
      </c>
      <c r="P19" s="3">
        <f t="shared" si="0"/>
        <v>0</v>
      </c>
      <c r="Q19" s="3">
        <f t="shared" si="1"/>
        <v>84</v>
      </c>
      <c r="R19" s="3">
        <f t="shared" si="2"/>
        <v>16</v>
      </c>
      <c r="S19" s="11"/>
    </row>
    <row r="20" ht="13.5" customHeight="1" spans="1:19">
      <c r="A20" s="4" t="s">
        <v>37</v>
      </c>
      <c r="B20" s="3">
        <v>1016</v>
      </c>
      <c r="C20" s="3">
        <v>5657</v>
      </c>
      <c r="D20" s="3">
        <v>3</v>
      </c>
      <c r="E20" s="4" t="s">
        <v>38</v>
      </c>
      <c r="F20" s="4" t="s">
        <v>39</v>
      </c>
      <c r="G20" s="4" t="s">
        <v>39</v>
      </c>
      <c r="H20" s="4" t="s">
        <v>40</v>
      </c>
      <c r="I20" s="4" t="s">
        <v>26</v>
      </c>
      <c r="J20" s="3">
        <v>3</v>
      </c>
      <c r="K20" s="3">
        <v>25</v>
      </c>
      <c r="L20" s="3">
        <v>21</v>
      </c>
      <c r="M20" s="3">
        <v>3</v>
      </c>
      <c r="N20" s="3">
        <v>0</v>
      </c>
      <c r="O20" s="3">
        <v>1</v>
      </c>
      <c r="P20" s="3">
        <f t="shared" si="0"/>
        <v>0</v>
      </c>
      <c r="Q20" s="3">
        <f t="shared" si="1"/>
        <v>84</v>
      </c>
      <c r="R20" s="3">
        <f t="shared" si="2"/>
        <v>4</v>
      </c>
      <c r="S20" s="11"/>
    </row>
    <row r="21" ht="13.5" customHeight="1" spans="1:19">
      <c r="A21" s="4" t="s">
        <v>37</v>
      </c>
      <c r="B21" s="3">
        <v>1016</v>
      </c>
      <c r="C21" s="3">
        <v>5657</v>
      </c>
      <c r="D21" s="3">
        <v>3</v>
      </c>
      <c r="E21" s="4" t="s">
        <v>38</v>
      </c>
      <c r="F21" s="4" t="s">
        <v>39</v>
      </c>
      <c r="G21" s="4" t="s">
        <v>39</v>
      </c>
      <c r="H21" s="4" t="s">
        <v>40</v>
      </c>
      <c r="I21" s="4" t="s">
        <v>26</v>
      </c>
      <c r="J21" s="3">
        <v>4</v>
      </c>
      <c r="K21" s="3">
        <v>25</v>
      </c>
      <c r="L21" s="3">
        <v>21</v>
      </c>
      <c r="M21" s="3">
        <v>3</v>
      </c>
      <c r="N21" s="3">
        <v>0</v>
      </c>
      <c r="O21" s="3">
        <v>1</v>
      </c>
      <c r="P21" s="3">
        <f t="shared" si="0"/>
        <v>0</v>
      </c>
      <c r="Q21" s="3">
        <f t="shared" si="1"/>
        <v>84</v>
      </c>
      <c r="R21" s="3">
        <f t="shared" si="2"/>
        <v>4</v>
      </c>
      <c r="S21" s="11"/>
    </row>
    <row r="22" ht="13.5" customHeight="1" spans="1:21">
      <c r="A22" s="4" t="s">
        <v>41</v>
      </c>
      <c r="B22" s="3">
        <v>1073</v>
      </c>
      <c r="C22" s="3">
        <v>6256</v>
      </c>
      <c r="D22" s="3">
        <v>1</v>
      </c>
      <c r="E22" s="4" t="s">
        <v>28</v>
      </c>
      <c r="F22" s="4" t="s">
        <v>29</v>
      </c>
      <c r="G22" s="4" t="s">
        <v>30</v>
      </c>
      <c r="H22" s="4" t="s">
        <v>31</v>
      </c>
      <c r="I22" s="4" t="s">
        <v>26</v>
      </c>
      <c r="J22" s="3">
        <v>1</v>
      </c>
      <c r="K22" s="3">
        <v>25</v>
      </c>
      <c r="L22" s="3">
        <v>2</v>
      </c>
      <c r="M22" s="3">
        <v>2</v>
      </c>
      <c r="N22" s="3">
        <v>2</v>
      </c>
      <c r="O22" s="3">
        <v>19</v>
      </c>
      <c r="P22" s="3">
        <f t="shared" si="0"/>
        <v>0</v>
      </c>
      <c r="Q22" s="3">
        <f t="shared" si="1"/>
        <v>8.69565217391304</v>
      </c>
      <c r="R22" s="3">
        <f t="shared" si="2"/>
        <v>82.6086956521739</v>
      </c>
      <c r="S22" s="11">
        <f>AVERAGE(Q22:Q25)</f>
        <v>15.7193675889328</v>
      </c>
      <c r="T22" s="7">
        <f>AVERAGE(R22:R25)</f>
        <v>63.4249011857708</v>
      </c>
      <c r="U22" s="8">
        <f>(L22+L23+L24+L25+O22+O23+O24+O25)/(K22+K23+K24+K25)*100</f>
        <v>75</v>
      </c>
    </row>
    <row r="23" ht="13.5" customHeight="1" spans="1:19">
      <c r="A23" s="4" t="s">
        <v>41</v>
      </c>
      <c r="B23" s="3">
        <v>1073</v>
      </c>
      <c r="C23" s="3">
        <v>6256</v>
      </c>
      <c r="D23" s="3">
        <v>1</v>
      </c>
      <c r="E23" s="4" t="s">
        <v>28</v>
      </c>
      <c r="F23" s="4" t="s">
        <v>29</v>
      </c>
      <c r="G23" s="4" t="s">
        <v>30</v>
      </c>
      <c r="H23" s="4" t="s">
        <v>31</v>
      </c>
      <c r="I23" s="4" t="s">
        <v>26</v>
      </c>
      <c r="J23" s="3">
        <v>2</v>
      </c>
      <c r="K23" s="3">
        <v>25</v>
      </c>
      <c r="L23" s="3">
        <v>3</v>
      </c>
      <c r="M23" s="3">
        <v>8</v>
      </c>
      <c r="N23" s="3">
        <v>0</v>
      </c>
      <c r="O23" s="3">
        <v>14</v>
      </c>
      <c r="P23" s="3">
        <f t="shared" si="0"/>
        <v>0</v>
      </c>
      <c r="Q23" s="3">
        <f t="shared" si="1"/>
        <v>12</v>
      </c>
      <c r="R23" s="3">
        <f t="shared" si="2"/>
        <v>56</v>
      </c>
      <c r="S23" s="11"/>
    </row>
    <row r="24" ht="13.5" customHeight="1" spans="1:19">
      <c r="A24" s="4" t="s">
        <v>41</v>
      </c>
      <c r="B24" s="3">
        <v>1073</v>
      </c>
      <c r="C24" s="3">
        <v>6256</v>
      </c>
      <c r="D24" s="3">
        <v>1</v>
      </c>
      <c r="E24" s="4" t="s">
        <v>28</v>
      </c>
      <c r="F24" s="4" t="s">
        <v>29</v>
      </c>
      <c r="G24" s="4" t="s">
        <v>30</v>
      </c>
      <c r="H24" s="4" t="s">
        <v>31</v>
      </c>
      <c r="I24" s="4" t="s">
        <v>26</v>
      </c>
      <c r="J24" s="3">
        <v>3</v>
      </c>
      <c r="K24" s="3">
        <v>25</v>
      </c>
      <c r="L24" s="3">
        <v>4</v>
      </c>
      <c r="M24" s="3">
        <v>5</v>
      </c>
      <c r="N24" s="3">
        <v>3</v>
      </c>
      <c r="O24" s="3">
        <v>13</v>
      </c>
      <c r="P24" s="3">
        <f t="shared" si="0"/>
        <v>0</v>
      </c>
      <c r="Q24" s="3">
        <f t="shared" si="1"/>
        <v>18.1818181818182</v>
      </c>
      <c r="R24" s="3">
        <f t="shared" si="2"/>
        <v>59.0909090909091</v>
      </c>
      <c r="S24" s="11"/>
    </row>
    <row r="25" ht="13.5" customHeight="1" spans="1:19">
      <c r="A25" s="4" t="s">
        <v>41</v>
      </c>
      <c r="B25" s="3">
        <v>1073</v>
      </c>
      <c r="C25" s="3">
        <v>6256</v>
      </c>
      <c r="D25" s="3">
        <v>1</v>
      </c>
      <c r="E25" s="4" t="s">
        <v>28</v>
      </c>
      <c r="F25" s="4" t="s">
        <v>29</v>
      </c>
      <c r="G25" s="4" t="s">
        <v>30</v>
      </c>
      <c r="H25" s="4" t="s">
        <v>31</v>
      </c>
      <c r="I25" s="4" t="s">
        <v>26</v>
      </c>
      <c r="J25" s="3">
        <v>4</v>
      </c>
      <c r="K25" s="3">
        <v>25</v>
      </c>
      <c r="L25" s="3">
        <v>6</v>
      </c>
      <c r="M25" s="3">
        <v>5</v>
      </c>
      <c r="N25" s="3">
        <v>0</v>
      </c>
      <c r="O25" s="3">
        <v>14</v>
      </c>
      <c r="P25" s="3">
        <f t="shared" si="0"/>
        <v>0</v>
      </c>
      <c r="Q25" s="3">
        <f t="shared" si="1"/>
        <v>24</v>
      </c>
      <c r="R25" s="3">
        <f t="shared" si="2"/>
        <v>56</v>
      </c>
      <c r="S25" s="11"/>
    </row>
    <row r="26" ht="13.5" customHeight="1" spans="1:21">
      <c r="A26" s="4" t="s">
        <v>42</v>
      </c>
      <c r="B26" s="3">
        <v>1441</v>
      </c>
      <c r="C26" s="3">
        <v>9420</v>
      </c>
      <c r="D26" s="3">
        <v>0.1</v>
      </c>
      <c r="E26" s="4" t="s">
        <v>43</v>
      </c>
      <c r="F26" s="4" t="s">
        <v>44</v>
      </c>
      <c r="G26" s="4" t="s">
        <v>45</v>
      </c>
      <c r="H26" s="4" t="s">
        <v>40</v>
      </c>
      <c r="I26" s="4" t="s">
        <v>26</v>
      </c>
      <c r="J26" s="3">
        <v>1</v>
      </c>
      <c r="K26" s="3">
        <v>25</v>
      </c>
      <c r="L26" s="3">
        <v>22</v>
      </c>
      <c r="M26" s="3">
        <v>1</v>
      </c>
      <c r="N26" s="3">
        <v>1</v>
      </c>
      <c r="O26" s="3">
        <v>1</v>
      </c>
      <c r="P26" s="3">
        <f t="shared" si="0"/>
        <v>0</v>
      </c>
      <c r="Q26" s="3">
        <f t="shared" si="1"/>
        <v>91.6666666666667</v>
      </c>
      <c r="R26" s="3">
        <f t="shared" si="2"/>
        <v>4.16666666666667</v>
      </c>
      <c r="S26" s="11">
        <f>AVERAGE(Q26:Q29)</f>
        <v>94.7916666666667</v>
      </c>
      <c r="T26" s="7">
        <f>AVERAGE(R26:R29)</f>
        <v>4.16666666666667</v>
      </c>
      <c r="U26" s="8">
        <f>(L26+L27+L28+L29+O26+O27+O28+O29)/(K26+K27+K28+K29)*100</f>
        <v>95</v>
      </c>
    </row>
    <row r="27" ht="13.5" customHeight="1" spans="1:19">
      <c r="A27" s="4" t="s">
        <v>42</v>
      </c>
      <c r="B27" s="3">
        <v>1441</v>
      </c>
      <c r="C27" s="3">
        <v>9420</v>
      </c>
      <c r="D27" s="3">
        <v>0.1</v>
      </c>
      <c r="E27" s="4" t="s">
        <v>43</v>
      </c>
      <c r="F27" s="4" t="s">
        <v>44</v>
      </c>
      <c r="G27" s="4" t="s">
        <v>45</v>
      </c>
      <c r="H27" s="4" t="s">
        <v>40</v>
      </c>
      <c r="I27" s="4" t="s">
        <v>26</v>
      </c>
      <c r="J27" s="3">
        <v>2</v>
      </c>
      <c r="K27" s="3">
        <v>25</v>
      </c>
      <c r="L27" s="3">
        <v>21</v>
      </c>
      <c r="M27" s="3">
        <v>0</v>
      </c>
      <c r="N27" s="3">
        <v>1</v>
      </c>
      <c r="O27" s="3">
        <v>3</v>
      </c>
      <c r="P27" s="3">
        <f t="shared" si="0"/>
        <v>0</v>
      </c>
      <c r="Q27" s="3">
        <f t="shared" si="1"/>
        <v>87.5</v>
      </c>
      <c r="R27" s="3">
        <f t="shared" si="2"/>
        <v>12.5</v>
      </c>
      <c r="S27" s="11"/>
    </row>
    <row r="28" ht="13.5" customHeight="1" spans="1:19">
      <c r="A28" s="4" t="s">
        <v>42</v>
      </c>
      <c r="B28" s="3">
        <v>1441</v>
      </c>
      <c r="C28" s="3">
        <v>9420</v>
      </c>
      <c r="D28" s="3">
        <v>0.1</v>
      </c>
      <c r="E28" s="4" t="s">
        <v>43</v>
      </c>
      <c r="F28" s="4" t="s">
        <v>44</v>
      </c>
      <c r="G28" s="4" t="s">
        <v>45</v>
      </c>
      <c r="H28" s="4" t="s">
        <v>40</v>
      </c>
      <c r="I28" s="4" t="s">
        <v>26</v>
      </c>
      <c r="J28" s="3">
        <v>3</v>
      </c>
      <c r="K28" s="3">
        <v>25</v>
      </c>
      <c r="L28" s="3">
        <v>24</v>
      </c>
      <c r="M28" s="3">
        <v>0</v>
      </c>
      <c r="N28" s="3">
        <v>1</v>
      </c>
      <c r="O28" s="3">
        <v>0</v>
      </c>
      <c r="P28" s="3">
        <f t="shared" si="0"/>
        <v>0</v>
      </c>
      <c r="Q28" s="3">
        <f t="shared" si="1"/>
        <v>100</v>
      </c>
      <c r="R28" s="3">
        <f t="shared" si="2"/>
        <v>0</v>
      </c>
      <c r="S28" s="11"/>
    </row>
    <row r="29" ht="13.5" customHeight="1" spans="1:19">
      <c r="A29" s="4" t="s">
        <v>42</v>
      </c>
      <c r="B29" s="3">
        <v>1441</v>
      </c>
      <c r="C29" s="3">
        <v>9420</v>
      </c>
      <c r="D29" s="3">
        <v>0.1</v>
      </c>
      <c r="E29" s="4" t="s">
        <v>43</v>
      </c>
      <c r="F29" s="4" t="s">
        <v>44</v>
      </c>
      <c r="G29" s="4" t="s">
        <v>45</v>
      </c>
      <c r="H29" s="4" t="s">
        <v>40</v>
      </c>
      <c r="I29" s="4" t="s">
        <v>26</v>
      </c>
      <c r="J29" s="3">
        <v>4</v>
      </c>
      <c r="K29" s="3">
        <v>25</v>
      </c>
      <c r="L29" s="3">
        <v>24</v>
      </c>
      <c r="M29" s="3">
        <v>0</v>
      </c>
      <c r="N29" s="3">
        <v>1</v>
      </c>
      <c r="O29" s="3">
        <v>0</v>
      </c>
      <c r="P29" s="3">
        <f t="shared" si="0"/>
        <v>0</v>
      </c>
      <c r="Q29" s="3">
        <f t="shared" si="1"/>
        <v>100</v>
      </c>
      <c r="R29" s="3">
        <f t="shared" si="2"/>
        <v>0</v>
      </c>
      <c r="S29" s="11"/>
    </row>
    <row r="30" ht="13.5" customHeight="1" spans="1:21">
      <c r="A30" s="4" t="s">
        <v>46</v>
      </c>
      <c r="B30" s="3">
        <v>1270</v>
      </c>
      <c r="C30" s="3">
        <v>8757</v>
      </c>
      <c r="D30" s="3">
        <v>0.1</v>
      </c>
      <c r="E30" s="4" t="s">
        <v>22</v>
      </c>
      <c r="F30" s="4" t="s">
        <v>23</v>
      </c>
      <c r="G30" s="4" t="s">
        <v>24</v>
      </c>
      <c r="H30" s="4" t="s">
        <v>25</v>
      </c>
      <c r="I30" s="4" t="s">
        <v>26</v>
      </c>
      <c r="J30" s="3">
        <v>1</v>
      </c>
      <c r="K30" s="3">
        <v>25</v>
      </c>
      <c r="L30" s="3">
        <v>19</v>
      </c>
      <c r="M30" s="3">
        <v>0</v>
      </c>
      <c r="N30" s="3">
        <v>1</v>
      </c>
      <c r="O30" s="3">
        <v>5</v>
      </c>
      <c r="P30" s="3">
        <f t="shared" si="0"/>
        <v>0</v>
      </c>
      <c r="Q30" s="3">
        <f t="shared" si="1"/>
        <v>79.1666666666667</v>
      </c>
      <c r="R30" s="3">
        <f t="shared" si="2"/>
        <v>20.8333333333333</v>
      </c>
      <c r="S30" s="11">
        <f>AVERAGE(Q30:Q33)</f>
        <v>86.7916666666667</v>
      </c>
      <c r="T30" s="7">
        <f>AVERAGE(R30:R33)</f>
        <v>13.2083333333333</v>
      </c>
      <c r="U30" s="8">
        <f>(L30+L31+L32+L33+O30+O31+O32+O33)/(K30+K31+K32+K33)*100</f>
        <v>99</v>
      </c>
    </row>
    <row r="31" ht="13.5" customHeight="1" spans="1:19">
      <c r="A31" s="4" t="s">
        <v>46</v>
      </c>
      <c r="B31" s="3">
        <v>1270</v>
      </c>
      <c r="C31" s="3">
        <v>8757</v>
      </c>
      <c r="D31" s="3">
        <v>0.1</v>
      </c>
      <c r="E31" s="4" t="s">
        <v>22</v>
      </c>
      <c r="F31" s="4" t="s">
        <v>23</v>
      </c>
      <c r="G31" s="4" t="s">
        <v>24</v>
      </c>
      <c r="H31" s="4" t="s">
        <v>25</v>
      </c>
      <c r="I31" s="4" t="s">
        <v>26</v>
      </c>
      <c r="J31" s="3">
        <v>2</v>
      </c>
      <c r="K31" s="3">
        <v>25</v>
      </c>
      <c r="L31" s="3">
        <v>22</v>
      </c>
      <c r="M31" s="3">
        <v>0</v>
      </c>
      <c r="N31" s="3">
        <v>0</v>
      </c>
      <c r="O31" s="3">
        <v>3</v>
      </c>
      <c r="P31" s="3">
        <f t="shared" si="0"/>
        <v>0</v>
      </c>
      <c r="Q31" s="3">
        <f t="shared" si="1"/>
        <v>88</v>
      </c>
      <c r="R31" s="3">
        <f t="shared" si="2"/>
        <v>12</v>
      </c>
      <c r="S31" s="11"/>
    </row>
    <row r="32" ht="13.5" customHeight="1" spans="1:19">
      <c r="A32" s="4" t="s">
        <v>46</v>
      </c>
      <c r="B32" s="3">
        <v>1270</v>
      </c>
      <c r="C32" s="3">
        <v>8757</v>
      </c>
      <c r="D32" s="3">
        <v>0.1</v>
      </c>
      <c r="E32" s="4" t="s">
        <v>22</v>
      </c>
      <c r="F32" s="4" t="s">
        <v>23</v>
      </c>
      <c r="G32" s="4" t="s">
        <v>24</v>
      </c>
      <c r="H32" s="4" t="s">
        <v>25</v>
      </c>
      <c r="I32" s="4" t="s">
        <v>26</v>
      </c>
      <c r="J32" s="3">
        <v>3</v>
      </c>
      <c r="K32" s="3">
        <v>25</v>
      </c>
      <c r="L32" s="3">
        <v>22</v>
      </c>
      <c r="M32" s="3">
        <v>0</v>
      </c>
      <c r="N32" s="3">
        <v>0</v>
      </c>
      <c r="O32" s="3">
        <v>3</v>
      </c>
      <c r="P32" s="3">
        <f t="shared" si="0"/>
        <v>0</v>
      </c>
      <c r="Q32" s="3">
        <f t="shared" si="1"/>
        <v>88</v>
      </c>
      <c r="R32" s="3">
        <f t="shared" si="2"/>
        <v>12</v>
      </c>
      <c r="S32" s="11"/>
    </row>
    <row r="33" ht="13.5" customHeight="1" spans="1:19">
      <c r="A33" s="4" t="s">
        <v>46</v>
      </c>
      <c r="B33" s="3">
        <v>1270</v>
      </c>
      <c r="C33" s="3">
        <v>8757</v>
      </c>
      <c r="D33" s="3">
        <v>0.1</v>
      </c>
      <c r="E33" s="4" t="s">
        <v>22</v>
      </c>
      <c r="F33" s="4" t="s">
        <v>23</v>
      </c>
      <c r="G33" s="4" t="s">
        <v>24</v>
      </c>
      <c r="H33" s="4" t="s">
        <v>25</v>
      </c>
      <c r="I33" s="4" t="s">
        <v>26</v>
      </c>
      <c r="J33" s="3">
        <v>4</v>
      </c>
      <c r="K33" s="3">
        <v>25</v>
      </c>
      <c r="L33" s="3">
        <v>23</v>
      </c>
      <c r="M33" s="3">
        <v>0</v>
      </c>
      <c r="N33" s="3">
        <v>0</v>
      </c>
      <c r="O33" s="3">
        <v>2</v>
      </c>
      <c r="P33" s="3">
        <f t="shared" si="0"/>
        <v>0</v>
      </c>
      <c r="Q33" s="3">
        <f t="shared" si="1"/>
        <v>92</v>
      </c>
      <c r="R33" s="3">
        <f t="shared" si="2"/>
        <v>8</v>
      </c>
      <c r="S33" s="11"/>
    </row>
    <row r="34" ht="13.5" customHeight="1" spans="1:21">
      <c r="A34" s="4" t="s">
        <v>46</v>
      </c>
      <c r="B34" s="3">
        <v>1270</v>
      </c>
      <c r="C34" s="3">
        <v>8757</v>
      </c>
      <c r="D34" s="3">
        <v>1</v>
      </c>
      <c r="E34" s="4" t="s">
        <v>28</v>
      </c>
      <c r="F34" s="4" t="s">
        <v>29</v>
      </c>
      <c r="G34" s="4" t="s">
        <v>30</v>
      </c>
      <c r="H34" s="4" t="s">
        <v>31</v>
      </c>
      <c r="I34" s="4" t="s">
        <v>26</v>
      </c>
      <c r="J34" s="3">
        <v>1</v>
      </c>
      <c r="K34" s="3">
        <v>25</v>
      </c>
      <c r="L34" s="3">
        <v>1</v>
      </c>
      <c r="M34" s="3">
        <v>7</v>
      </c>
      <c r="N34" s="3">
        <v>17</v>
      </c>
      <c r="O34" s="3">
        <v>0</v>
      </c>
      <c r="P34" s="3">
        <f t="shared" si="0"/>
        <v>0</v>
      </c>
      <c r="Q34" s="3">
        <f t="shared" si="1"/>
        <v>12.5</v>
      </c>
      <c r="R34" s="3">
        <f t="shared" si="2"/>
        <v>0</v>
      </c>
      <c r="S34" s="11">
        <f>AVERAGE(Q34:Q37)</f>
        <v>32.2916666666667</v>
      </c>
      <c r="T34" s="7">
        <f>AVERAGE(R34:R37)</f>
        <v>0</v>
      </c>
      <c r="U34" s="8">
        <f>(L34+L35+L36+L37+O34+O35+O36+O37)/(K34+K35+K36+K37)*100</f>
        <v>8</v>
      </c>
    </row>
    <row r="35" ht="13.5" customHeight="1" spans="1:19">
      <c r="A35" s="4" t="s">
        <v>46</v>
      </c>
      <c r="B35" s="3">
        <v>1270</v>
      </c>
      <c r="C35" s="3">
        <v>8757</v>
      </c>
      <c r="D35" s="3">
        <v>1</v>
      </c>
      <c r="E35" s="4" t="s">
        <v>28</v>
      </c>
      <c r="F35" s="4" t="s">
        <v>29</v>
      </c>
      <c r="G35" s="4" t="s">
        <v>30</v>
      </c>
      <c r="H35" s="4" t="s">
        <v>31</v>
      </c>
      <c r="I35" s="4" t="s">
        <v>26</v>
      </c>
      <c r="J35" s="3">
        <v>2</v>
      </c>
      <c r="K35" s="3">
        <v>25</v>
      </c>
      <c r="L35" s="3">
        <v>1</v>
      </c>
      <c r="M35" s="3">
        <v>2</v>
      </c>
      <c r="N35" s="3">
        <v>22</v>
      </c>
      <c r="O35" s="3">
        <v>0</v>
      </c>
      <c r="P35" s="3">
        <f t="shared" si="0"/>
        <v>0</v>
      </c>
      <c r="Q35" s="3">
        <f t="shared" si="1"/>
        <v>33.3333333333333</v>
      </c>
      <c r="R35" s="3">
        <f t="shared" si="2"/>
        <v>0</v>
      </c>
      <c r="S35" s="11"/>
    </row>
    <row r="36" ht="13.5" customHeight="1" spans="1:19">
      <c r="A36" s="4" t="s">
        <v>46</v>
      </c>
      <c r="B36" s="3">
        <v>1270</v>
      </c>
      <c r="C36" s="3">
        <v>8757</v>
      </c>
      <c r="D36" s="3">
        <v>1</v>
      </c>
      <c r="E36" s="4" t="s">
        <v>28</v>
      </c>
      <c r="F36" s="4" t="s">
        <v>29</v>
      </c>
      <c r="G36" s="4" t="s">
        <v>30</v>
      </c>
      <c r="H36" s="4" t="s">
        <v>31</v>
      </c>
      <c r="I36" s="4" t="s">
        <v>26</v>
      </c>
      <c r="J36" s="3">
        <v>3</v>
      </c>
      <c r="K36" s="3">
        <v>25</v>
      </c>
      <c r="L36" s="3">
        <v>3</v>
      </c>
      <c r="M36" s="3">
        <v>6</v>
      </c>
      <c r="N36" s="3">
        <v>16</v>
      </c>
      <c r="O36" s="3">
        <v>0</v>
      </c>
      <c r="P36" s="3">
        <f t="shared" si="0"/>
        <v>0</v>
      </c>
      <c r="Q36" s="3">
        <f t="shared" si="1"/>
        <v>33.3333333333333</v>
      </c>
      <c r="R36" s="3">
        <f t="shared" si="2"/>
        <v>0</v>
      </c>
      <c r="S36" s="11"/>
    </row>
    <row r="37" ht="13.5" customHeight="1" spans="1:19">
      <c r="A37" s="4" t="s">
        <v>46</v>
      </c>
      <c r="B37" s="3">
        <v>1270</v>
      </c>
      <c r="C37" s="3">
        <v>8757</v>
      </c>
      <c r="D37" s="3">
        <v>1</v>
      </c>
      <c r="E37" s="4" t="s">
        <v>28</v>
      </c>
      <c r="F37" s="4" t="s">
        <v>29</v>
      </c>
      <c r="G37" s="4" t="s">
        <v>30</v>
      </c>
      <c r="H37" s="4" t="s">
        <v>31</v>
      </c>
      <c r="I37" s="4" t="s">
        <v>26</v>
      </c>
      <c r="J37" s="3">
        <v>4</v>
      </c>
      <c r="K37" s="3">
        <v>25</v>
      </c>
      <c r="L37" s="3">
        <v>3</v>
      </c>
      <c r="M37" s="3">
        <v>3</v>
      </c>
      <c r="N37" s="3">
        <v>19</v>
      </c>
      <c r="O37" s="3">
        <v>0</v>
      </c>
      <c r="P37" s="3">
        <f t="shared" si="0"/>
        <v>0</v>
      </c>
      <c r="Q37" s="3">
        <f t="shared" si="1"/>
        <v>50</v>
      </c>
      <c r="R37" s="3">
        <f t="shared" si="2"/>
        <v>0</v>
      </c>
      <c r="S37" s="11"/>
    </row>
    <row r="38" ht="13.5" customHeight="1" spans="1:21">
      <c r="A38" s="4" t="s">
        <v>47</v>
      </c>
      <c r="B38" s="3">
        <v>1504</v>
      </c>
      <c r="C38" s="3">
        <v>9859</v>
      </c>
      <c r="D38" s="3">
        <v>0.1</v>
      </c>
      <c r="E38" s="4" t="s">
        <v>43</v>
      </c>
      <c r="F38" s="4" t="s">
        <v>44</v>
      </c>
      <c r="G38" s="4" t="s">
        <v>45</v>
      </c>
      <c r="H38" s="4" t="s">
        <v>40</v>
      </c>
      <c r="I38" s="4" t="s">
        <v>26</v>
      </c>
      <c r="J38" s="3">
        <v>1</v>
      </c>
      <c r="K38" s="3">
        <v>25</v>
      </c>
      <c r="L38" s="3">
        <v>20</v>
      </c>
      <c r="M38" s="3">
        <v>0</v>
      </c>
      <c r="N38" s="3">
        <v>1</v>
      </c>
      <c r="O38" s="3">
        <v>4</v>
      </c>
      <c r="P38" s="3">
        <f t="shared" si="0"/>
        <v>0</v>
      </c>
      <c r="Q38" s="3">
        <f t="shared" si="1"/>
        <v>83.3333333333333</v>
      </c>
      <c r="R38" s="3">
        <f t="shared" si="2"/>
        <v>16.6666666666667</v>
      </c>
      <c r="S38" s="11">
        <f>AVERAGE(Q38:Q41)</f>
        <v>87.5833333333333</v>
      </c>
      <c r="T38" s="7">
        <f>AVERAGE(R38:R41)</f>
        <v>10.3333333333333</v>
      </c>
      <c r="U38" s="8">
        <f>(L38+L39+L40+L41+O38+O39+O40+O41)/(K38+K39+K40+K41)*100</f>
        <v>95</v>
      </c>
    </row>
    <row r="39" ht="13.5" customHeight="1" spans="1:19">
      <c r="A39" s="4" t="s">
        <v>47</v>
      </c>
      <c r="B39" s="3">
        <v>1504</v>
      </c>
      <c r="C39" s="3">
        <v>9859</v>
      </c>
      <c r="D39" s="3">
        <v>0.1</v>
      </c>
      <c r="E39" s="4" t="s">
        <v>43</v>
      </c>
      <c r="F39" s="4" t="s">
        <v>44</v>
      </c>
      <c r="G39" s="4" t="s">
        <v>45</v>
      </c>
      <c r="H39" s="4" t="s">
        <v>40</v>
      </c>
      <c r="I39" s="4" t="s">
        <v>26</v>
      </c>
      <c r="J39" s="3">
        <v>2</v>
      </c>
      <c r="K39" s="3">
        <v>25</v>
      </c>
      <c r="L39" s="3">
        <v>21</v>
      </c>
      <c r="M39" s="3">
        <v>1</v>
      </c>
      <c r="N39" s="3">
        <v>1</v>
      </c>
      <c r="O39" s="3">
        <v>2</v>
      </c>
      <c r="P39" s="3">
        <f t="shared" si="0"/>
        <v>0</v>
      </c>
      <c r="Q39" s="3">
        <f t="shared" si="1"/>
        <v>87.5</v>
      </c>
      <c r="R39" s="3">
        <f t="shared" si="2"/>
        <v>8.33333333333333</v>
      </c>
      <c r="S39" s="11"/>
    </row>
    <row r="40" ht="13.5" customHeight="1" spans="1:19">
      <c r="A40" s="4" t="s">
        <v>47</v>
      </c>
      <c r="B40" s="3">
        <v>1504</v>
      </c>
      <c r="C40" s="3">
        <v>9859</v>
      </c>
      <c r="D40" s="3">
        <v>0.1</v>
      </c>
      <c r="E40" s="4" t="s">
        <v>43</v>
      </c>
      <c r="F40" s="4" t="s">
        <v>44</v>
      </c>
      <c r="G40" s="4" t="s">
        <v>45</v>
      </c>
      <c r="H40" s="4" t="s">
        <v>40</v>
      </c>
      <c r="I40" s="4" t="s">
        <v>26</v>
      </c>
      <c r="J40" s="3">
        <v>3</v>
      </c>
      <c r="K40" s="3">
        <v>25</v>
      </c>
      <c r="L40" s="3">
        <v>23</v>
      </c>
      <c r="M40" s="3">
        <v>0</v>
      </c>
      <c r="N40" s="3">
        <v>0</v>
      </c>
      <c r="O40" s="3">
        <v>2</v>
      </c>
      <c r="P40" s="3">
        <f t="shared" si="0"/>
        <v>0</v>
      </c>
      <c r="Q40" s="3">
        <f t="shared" si="1"/>
        <v>92</v>
      </c>
      <c r="R40" s="3">
        <f t="shared" si="2"/>
        <v>8</v>
      </c>
      <c r="S40" s="11"/>
    </row>
    <row r="41" ht="13.5" customHeight="1" spans="1:19">
      <c r="A41" s="4" t="s">
        <v>47</v>
      </c>
      <c r="B41" s="3">
        <v>1504</v>
      </c>
      <c r="C41" s="3">
        <v>9859</v>
      </c>
      <c r="D41" s="3">
        <v>0.1</v>
      </c>
      <c r="E41" s="4" t="s">
        <v>43</v>
      </c>
      <c r="F41" s="4" t="s">
        <v>44</v>
      </c>
      <c r="G41" s="4" t="s">
        <v>45</v>
      </c>
      <c r="H41" s="4" t="s">
        <v>40</v>
      </c>
      <c r="I41" s="4" t="s">
        <v>26</v>
      </c>
      <c r="J41" s="3">
        <v>4</v>
      </c>
      <c r="K41" s="3">
        <v>25</v>
      </c>
      <c r="L41" s="3">
        <v>21</v>
      </c>
      <c r="M41" s="3">
        <v>1</v>
      </c>
      <c r="N41" s="3">
        <v>1</v>
      </c>
      <c r="O41" s="3">
        <v>2</v>
      </c>
      <c r="P41" s="3">
        <f t="shared" si="0"/>
        <v>0</v>
      </c>
      <c r="Q41" s="3">
        <f t="shared" si="1"/>
        <v>87.5</v>
      </c>
      <c r="R41" s="3">
        <f t="shared" si="2"/>
        <v>8.33333333333333</v>
      </c>
      <c r="S41" s="11"/>
    </row>
    <row r="42" ht="13.5" customHeight="1" spans="1:21">
      <c r="A42" s="4" t="s">
        <v>46</v>
      </c>
      <c r="B42" s="3">
        <v>1270</v>
      </c>
      <c r="C42" s="3">
        <v>8757</v>
      </c>
      <c r="D42" s="3">
        <v>0.1</v>
      </c>
      <c r="E42" s="4" t="s">
        <v>48</v>
      </c>
      <c r="F42" s="4" t="s">
        <v>49</v>
      </c>
      <c r="G42" s="4" t="s">
        <v>50</v>
      </c>
      <c r="H42" s="4" t="s">
        <v>40</v>
      </c>
      <c r="I42" s="4" t="s">
        <v>26</v>
      </c>
      <c r="J42" s="3">
        <v>1</v>
      </c>
      <c r="K42" s="3">
        <v>25</v>
      </c>
      <c r="L42" s="3">
        <v>25</v>
      </c>
      <c r="M42" s="3">
        <v>0</v>
      </c>
      <c r="N42" s="3">
        <v>0</v>
      </c>
      <c r="O42" s="3">
        <v>0</v>
      </c>
      <c r="P42" s="3">
        <f t="shared" si="0"/>
        <v>0</v>
      </c>
      <c r="Q42" s="3">
        <f t="shared" si="1"/>
        <v>100</v>
      </c>
      <c r="R42" s="3">
        <f t="shared" si="2"/>
        <v>0</v>
      </c>
      <c r="S42" s="11">
        <f>AVERAGE(Q42:Q45)</f>
        <v>96.9583333333333</v>
      </c>
      <c r="T42" s="7">
        <f>AVERAGE(R42:R45)</f>
        <v>3.04166666666667</v>
      </c>
      <c r="U42" s="8">
        <f>(L42+L43+L44+L45+O42+O43+O44+O45)/(K42+K43+K44+K45)*100</f>
        <v>99</v>
      </c>
    </row>
    <row r="43" ht="13.5" customHeight="1" spans="1:19">
      <c r="A43" s="4" t="s">
        <v>46</v>
      </c>
      <c r="B43" s="3">
        <v>1270</v>
      </c>
      <c r="C43" s="3">
        <v>8757</v>
      </c>
      <c r="D43" s="3">
        <v>0.1</v>
      </c>
      <c r="E43" s="4" t="s">
        <v>48</v>
      </c>
      <c r="F43" s="4" t="s">
        <v>49</v>
      </c>
      <c r="G43" s="4" t="s">
        <v>50</v>
      </c>
      <c r="H43" s="4" t="s">
        <v>40</v>
      </c>
      <c r="I43" s="4" t="s">
        <v>26</v>
      </c>
      <c r="J43" s="3">
        <v>2</v>
      </c>
      <c r="K43" s="3">
        <v>25</v>
      </c>
      <c r="L43" s="3">
        <v>23</v>
      </c>
      <c r="M43" s="3">
        <v>0</v>
      </c>
      <c r="N43" s="3">
        <v>1</v>
      </c>
      <c r="O43" s="3">
        <v>1</v>
      </c>
      <c r="P43" s="3">
        <f t="shared" si="0"/>
        <v>0</v>
      </c>
      <c r="Q43" s="3">
        <f t="shared" si="1"/>
        <v>95.8333333333333</v>
      </c>
      <c r="R43" s="3">
        <f t="shared" si="2"/>
        <v>4.16666666666667</v>
      </c>
      <c r="S43" s="11"/>
    </row>
    <row r="44" ht="13.5" customHeight="1" spans="1:19">
      <c r="A44" s="4" t="s">
        <v>46</v>
      </c>
      <c r="B44" s="3">
        <v>1270</v>
      </c>
      <c r="C44" s="3">
        <v>8757</v>
      </c>
      <c r="D44" s="3">
        <v>0.1</v>
      </c>
      <c r="E44" s="4" t="s">
        <v>48</v>
      </c>
      <c r="F44" s="4" t="s">
        <v>49</v>
      </c>
      <c r="G44" s="4" t="s">
        <v>50</v>
      </c>
      <c r="H44" s="4" t="s">
        <v>40</v>
      </c>
      <c r="I44" s="4" t="s">
        <v>26</v>
      </c>
      <c r="J44" s="3">
        <v>3</v>
      </c>
      <c r="K44" s="3">
        <v>25</v>
      </c>
      <c r="L44" s="3">
        <v>24</v>
      </c>
      <c r="M44" s="3">
        <v>0</v>
      </c>
      <c r="N44" s="3">
        <v>0</v>
      </c>
      <c r="O44" s="3">
        <v>1</v>
      </c>
      <c r="P44" s="3">
        <f t="shared" si="0"/>
        <v>0</v>
      </c>
      <c r="Q44" s="3">
        <f t="shared" si="1"/>
        <v>96</v>
      </c>
      <c r="R44" s="3">
        <f t="shared" si="2"/>
        <v>4</v>
      </c>
      <c r="S44" s="11"/>
    </row>
    <row r="45" ht="13.5" customHeight="1" spans="1:19">
      <c r="A45" s="4" t="s">
        <v>46</v>
      </c>
      <c r="B45" s="3">
        <v>1270</v>
      </c>
      <c r="C45" s="3">
        <v>8757</v>
      </c>
      <c r="D45" s="3">
        <v>0.1</v>
      </c>
      <c r="E45" s="4" t="s">
        <v>48</v>
      </c>
      <c r="F45" s="4" t="s">
        <v>49</v>
      </c>
      <c r="G45" s="4" t="s">
        <v>50</v>
      </c>
      <c r="H45" s="4" t="s">
        <v>40</v>
      </c>
      <c r="I45" s="4" t="s">
        <v>26</v>
      </c>
      <c r="J45" s="3">
        <v>4</v>
      </c>
      <c r="K45" s="3">
        <v>25</v>
      </c>
      <c r="L45" s="3">
        <v>24</v>
      </c>
      <c r="M45" s="3">
        <v>0</v>
      </c>
      <c r="N45" s="3">
        <v>0</v>
      </c>
      <c r="O45" s="3">
        <v>1</v>
      </c>
      <c r="P45" s="3">
        <f t="shared" si="0"/>
        <v>0</v>
      </c>
      <c r="Q45" s="3">
        <f t="shared" si="1"/>
        <v>96</v>
      </c>
      <c r="R45" s="3">
        <f t="shared" si="2"/>
        <v>4</v>
      </c>
      <c r="S45" s="11"/>
    </row>
    <row r="46" ht="13.5" customHeight="1" spans="1:21">
      <c r="A46" s="4" t="s">
        <v>21</v>
      </c>
      <c r="B46" s="3">
        <v>1236</v>
      </c>
      <c r="C46" s="3">
        <v>8460</v>
      </c>
      <c r="D46" s="3">
        <v>0.1</v>
      </c>
      <c r="E46" s="4" t="s">
        <v>48</v>
      </c>
      <c r="F46" s="4" t="s">
        <v>49</v>
      </c>
      <c r="G46" s="4" t="s">
        <v>50</v>
      </c>
      <c r="H46" s="4" t="s">
        <v>40</v>
      </c>
      <c r="I46" s="4" t="s">
        <v>26</v>
      </c>
      <c r="J46" s="3">
        <v>1</v>
      </c>
      <c r="K46" s="3">
        <v>25</v>
      </c>
      <c r="L46" s="3">
        <v>23</v>
      </c>
      <c r="M46" s="3">
        <v>0</v>
      </c>
      <c r="N46" s="3">
        <v>2</v>
      </c>
      <c r="O46" s="3">
        <v>0</v>
      </c>
      <c r="P46" s="3">
        <f t="shared" si="0"/>
        <v>0</v>
      </c>
      <c r="Q46" s="3">
        <f t="shared" si="1"/>
        <v>100</v>
      </c>
      <c r="R46" s="3">
        <f t="shared" si="2"/>
        <v>0</v>
      </c>
      <c r="S46" s="11">
        <f>AVERAGE(Q46:Q49)</f>
        <v>97.7766798418972</v>
      </c>
      <c r="T46" s="7">
        <f>AVERAGE(R46:R49)</f>
        <v>2.22332015810277</v>
      </c>
      <c r="U46" s="8">
        <f>(L46+L47+L48+L49+O46+O47+O48+O49)/(K46+K47+K48+K49)*100</f>
        <v>92.9292929292929</v>
      </c>
    </row>
    <row r="47" ht="13.5" customHeight="1" spans="1:19">
      <c r="A47" s="4" t="s">
        <v>21</v>
      </c>
      <c r="B47" s="3">
        <v>1236</v>
      </c>
      <c r="C47" s="3">
        <v>8460</v>
      </c>
      <c r="D47" s="3">
        <v>0.1</v>
      </c>
      <c r="E47" s="4" t="s">
        <v>48</v>
      </c>
      <c r="F47" s="4" t="s">
        <v>49</v>
      </c>
      <c r="G47" s="4" t="s">
        <v>50</v>
      </c>
      <c r="H47" s="4" t="s">
        <v>40</v>
      </c>
      <c r="I47" s="4" t="s">
        <v>26</v>
      </c>
      <c r="J47" s="3">
        <v>2</v>
      </c>
      <c r="K47" s="3">
        <v>24</v>
      </c>
      <c r="L47" s="3">
        <v>21</v>
      </c>
      <c r="M47" s="3">
        <v>0</v>
      </c>
      <c r="N47" s="3">
        <v>2</v>
      </c>
      <c r="O47" s="3">
        <v>1</v>
      </c>
      <c r="P47" s="3">
        <f t="shared" si="0"/>
        <v>0</v>
      </c>
      <c r="Q47" s="3">
        <f t="shared" si="1"/>
        <v>95.4545454545455</v>
      </c>
      <c r="R47" s="3">
        <f t="shared" si="2"/>
        <v>4.54545454545455</v>
      </c>
      <c r="S47" s="11"/>
    </row>
    <row r="48" ht="13.5" customHeight="1" spans="1:19">
      <c r="A48" s="4" t="s">
        <v>21</v>
      </c>
      <c r="B48" s="3">
        <v>1236</v>
      </c>
      <c r="C48" s="3">
        <v>8460</v>
      </c>
      <c r="D48" s="3">
        <v>0.1</v>
      </c>
      <c r="E48" s="4" t="s">
        <v>48</v>
      </c>
      <c r="F48" s="4" t="s">
        <v>49</v>
      </c>
      <c r="G48" s="4" t="s">
        <v>50</v>
      </c>
      <c r="H48" s="4" t="s">
        <v>40</v>
      </c>
      <c r="I48" s="4" t="s">
        <v>26</v>
      </c>
      <c r="J48" s="3">
        <v>3</v>
      </c>
      <c r="K48" s="3">
        <v>25</v>
      </c>
      <c r="L48" s="3">
        <v>24</v>
      </c>
      <c r="M48" s="3">
        <v>0</v>
      </c>
      <c r="N48" s="3">
        <v>1</v>
      </c>
      <c r="O48" s="3">
        <v>0</v>
      </c>
      <c r="P48" s="3">
        <f t="shared" si="0"/>
        <v>0</v>
      </c>
      <c r="Q48" s="3">
        <f t="shared" si="1"/>
        <v>100</v>
      </c>
      <c r="R48" s="3">
        <f t="shared" si="2"/>
        <v>0</v>
      </c>
      <c r="S48" s="11"/>
    </row>
    <row r="49" ht="13.5" customHeight="1" spans="1:19">
      <c r="A49" s="4" t="s">
        <v>21</v>
      </c>
      <c r="B49" s="3">
        <v>1236</v>
      </c>
      <c r="C49" s="3">
        <v>8460</v>
      </c>
      <c r="D49" s="3">
        <v>0.1</v>
      </c>
      <c r="E49" s="4" t="s">
        <v>48</v>
      </c>
      <c r="F49" s="4" t="s">
        <v>49</v>
      </c>
      <c r="G49" s="4" t="s">
        <v>50</v>
      </c>
      <c r="H49" s="4" t="s">
        <v>40</v>
      </c>
      <c r="I49" s="4" t="s">
        <v>26</v>
      </c>
      <c r="J49" s="3">
        <v>4</v>
      </c>
      <c r="K49" s="3">
        <v>25</v>
      </c>
      <c r="L49" s="3">
        <v>22</v>
      </c>
      <c r="M49" s="3">
        <v>0</v>
      </c>
      <c r="N49" s="3">
        <v>2</v>
      </c>
      <c r="O49" s="3">
        <v>1</v>
      </c>
      <c r="P49" s="3">
        <f t="shared" si="0"/>
        <v>0</v>
      </c>
      <c r="Q49" s="3">
        <f t="shared" si="1"/>
        <v>95.6521739130435</v>
      </c>
      <c r="R49" s="3">
        <f t="shared" si="2"/>
        <v>4.34782608695652</v>
      </c>
      <c r="S49" s="11"/>
    </row>
    <row r="50" ht="13.5" customHeight="1" spans="1:21">
      <c r="A50" s="4" t="s">
        <v>46</v>
      </c>
      <c r="B50" s="3">
        <v>1270</v>
      </c>
      <c r="C50" s="3">
        <v>8757</v>
      </c>
      <c r="D50" s="3">
        <v>0.1</v>
      </c>
      <c r="E50" s="4" t="s">
        <v>22</v>
      </c>
      <c r="F50" s="4" t="s">
        <v>51</v>
      </c>
      <c r="G50" s="4" t="s">
        <v>51</v>
      </c>
      <c r="H50" s="4" t="s">
        <v>25</v>
      </c>
      <c r="I50" s="4" t="s">
        <v>26</v>
      </c>
      <c r="J50" s="3">
        <v>1</v>
      </c>
      <c r="K50" s="3">
        <v>25</v>
      </c>
      <c r="L50" s="3">
        <v>23</v>
      </c>
      <c r="M50" s="3">
        <v>0</v>
      </c>
      <c r="N50" s="3">
        <v>2</v>
      </c>
      <c r="O50" s="3">
        <v>0</v>
      </c>
      <c r="P50" s="3">
        <f t="shared" si="0"/>
        <v>0</v>
      </c>
      <c r="Q50" s="3">
        <f t="shared" si="1"/>
        <v>100</v>
      </c>
      <c r="R50" s="3">
        <f t="shared" si="2"/>
        <v>0</v>
      </c>
      <c r="S50" s="11">
        <f>AVERAGE(Q50:Q53)</f>
        <v>100</v>
      </c>
      <c r="T50" s="7">
        <f>AVERAGE(R50:R53)</f>
        <v>0</v>
      </c>
      <c r="U50" s="8">
        <f>(L50+L51+L52+L53+O50+O51+O52+O53)/(K50+K51+K52+K53)*100</f>
        <v>98</v>
      </c>
    </row>
    <row r="51" ht="13.5" customHeight="1" spans="1:19">
      <c r="A51" s="4" t="s">
        <v>46</v>
      </c>
      <c r="B51" s="3">
        <v>1270</v>
      </c>
      <c r="C51" s="3">
        <v>8757</v>
      </c>
      <c r="D51" s="3">
        <v>0.1</v>
      </c>
      <c r="E51" s="4" t="s">
        <v>22</v>
      </c>
      <c r="F51" s="4" t="s">
        <v>51</v>
      </c>
      <c r="G51" s="4" t="s">
        <v>51</v>
      </c>
      <c r="H51" s="4" t="s">
        <v>25</v>
      </c>
      <c r="I51" s="4" t="s">
        <v>26</v>
      </c>
      <c r="J51" s="3">
        <v>2</v>
      </c>
      <c r="K51" s="3">
        <v>25</v>
      </c>
      <c r="L51" s="3">
        <v>25</v>
      </c>
      <c r="M51" s="3">
        <v>0</v>
      </c>
      <c r="N51" s="3">
        <v>0</v>
      </c>
      <c r="O51" s="3">
        <v>0</v>
      </c>
      <c r="P51" s="3">
        <f t="shared" si="0"/>
        <v>0</v>
      </c>
      <c r="Q51" s="3">
        <f t="shared" si="1"/>
        <v>100</v>
      </c>
      <c r="R51" s="3">
        <f t="shared" si="2"/>
        <v>0</v>
      </c>
      <c r="S51" s="11"/>
    </row>
    <row r="52" ht="13.5" customHeight="1" spans="1:19">
      <c r="A52" s="4" t="s">
        <v>46</v>
      </c>
      <c r="B52" s="3">
        <v>1270</v>
      </c>
      <c r="C52" s="3">
        <v>8757</v>
      </c>
      <c r="D52" s="3">
        <v>0.1</v>
      </c>
      <c r="E52" s="4" t="s">
        <v>22</v>
      </c>
      <c r="F52" s="4" t="s">
        <v>51</v>
      </c>
      <c r="G52" s="4" t="s">
        <v>51</v>
      </c>
      <c r="H52" s="4" t="s">
        <v>25</v>
      </c>
      <c r="I52" s="4" t="s">
        <v>26</v>
      </c>
      <c r="J52" s="3">
        <v>3</v>
      </c>
      <c r="K52" s="3">
        <v>25</v>
      </c>
      <c r="L52" s="3">
        <v>25</v>
      </c>
      <c r="M52" s="3">
        <v>0</v>
      </c>
      <c r="N52" s="3">
        <v>0</v>
      </c>
      <c r="O52" s="3">
        <v>0</v>
      </c>
      <c r="P52" s="3">
        <f t="shared" si="0"/>
        <v>0</v>
      </c>
      <c r="Q52" s="3">
        <f t="shared" si="1"/>
        <v>100</v>
      </c>
      <c r="R52" s="3">
        <f t="shared" si="2"/>
        <v>0</v>
      </c>
      <c r="S52" s="11"/>
    </row>
    <row r="53" ht="13.5" customHeight="1" spans="1:19">
      <c r="A53" s="4" t="s">
        <v>46</v>
      </c>
      <c r="B53" s="3">
        <v>1270</v>
      </c>
      <c r="C53" s="3">
        <v>8757</v>
      </c>
      <c r="D53" s="3">
        <v>0.1</v>
      </c>
      <c r="E53" s="4" t="s">
        <v>22</v>
      </c>
      <c r="F53" s="4" t="s">
        <v>51</v>
      </c>
      <c r="G53" s="4" t="s">
        <v>51</v>
      </c>
      <c r="H53" s="4" t="s">
        <v>25</v>
      </c>
      <c r="I53" s="4" t="s">
        <v>26</v>
      </c>
      <c r="J53" s="3">
        <v>4</v>
      </c>
      <c r="K53" s="3">
        <v>25</v>
      </c>
      <c r="L53" s="3">
        <v>25</v>
      </c>
      <c r="M53" s="3">
        <v>0</v>
      </c>
      <c r="N53" s="3">
        <v>0</v>
      </c>
      <c r="O53" s="3">
        <v>0</v>
      </c>
      <c r="P53" s="3">
        <f t="shared" si="0"/>
        <v>0</v>
      </c>
      <c r="Q53" s="3">
        <f t="shared" si="1"/>
        <v>100</v>
      </c>
      <c r="R53" s="3">
        <f t="shared" si="2"/>
        <v>0</v>
      </c>
      <c r="S53" s="11"/>
    </row>
    <row r="54" ht="13.5" customHeight="1" spans="1:21">
      <c r="A54" s="4" t="s">
        <v>46</v>
      </c>
      <c r="B54" s="3">
        <v>1270</v>
      </c>
      <c r="C54" s="3">
        <v>8757</v>
      </c>
      <c r="D54" s="3">
        <v>0.1</v>
      </c>
      <c r="E54" s="4" t="s">
        <v>52</v>
      </c>
      <c r="F54" s="4" t="s">
        <v>53</v>
      </c>
      <c r="G54" s="4" t="s">
        <v>54</v>
      </c>
      <c r="H54" s="4" t="s">
        <v>40</v>
      </c>
      <c r="I54" s="4" t="s">
        <v>26</v>
      </c>
      <c r="J54" s="3">
        <v>1</v>
      </c>
      <c r="K54" s="3">
        <v>25</v>
      </c>
      <c r="L54" s="3">
        <v>20</v>
      </c>
      <c r="M54" s="3">
        <v>0</v>
      </c>
      <c r="N54" s="3">
        <v>0</v>
      </c>
      <c r="O54" s="3">
        <v>5</v>
      </c>
      <c r="P54" s="3">
        <f t="shared" si="0"/>
        <v>0</v>
      </c>
      <c r="Q54" s="3">
        <f t="shared" si="1"/>
        <v>80</v>
      </c>
      <c r="R54" s="3">
        <f t="shared" si="2"/>
        <v>20</v>
      </c>
      <c r="S54" s="11">
        <f>AVERAGE(Q54:Q57)</f>
        <v>85</v>
      </c>
      <c r="T54" s="7">
        <f>AVERAGE(R54:R57)</f>
        <v>14</v>
      </c>
      <c r="U54" s="8">
        <f>(L54+L55+L56+L57+O54+O55+O56+O57)/(K54+K55+K56+K57)*100</f>
        <v>99</v>
      </c>
    </row>
    <row r="55" ht="13.5" customHeight="1" spans="1:19">
      <c r="A55" s="4" t="s">
        <v>46</v>
      </c>
      <c r="B55" s="3">
        <v>1270</v>
      </c>
      <c r="C55" s="3">
        <v>8757</v>
      </c>
      <c r="D55" s="3">
        <v>0.1</v>
      </c>
      <c r="E55" s="4" t="s">
        <v>52</v>
      </c>
      <c r="F55" s="4" t="s">
        <v>53</v>
      </c>
      <c r="G55" s="4" t="s">
        <v>54</v>
      </c>
      <c r="H55" s="4" t="s">
        <v>40</v>
      </c>
      <c r="I55" s="4" t="s">
        <v>26</v>
      </c>
      <c r="J55" s="3">
        <v>2</v>
      </c>
      <c r="K55" s="3">
        <v>25</v>
      </c>
      <c r="L55" s="3">
        <v>22</v>
      </c>
      <c r="M55" s="3">
        <v>0</v>
      </c>
      <c r="N55" s="3">
        <v>0</v>
      </c>
      <c r="O55" s="3">
        <v>3</v>
      </c>
      <c r="P55" s="3">
        <f t="shared" si="0"/>
        <v>0</v>
      </c>
      <c r="Q55" s="3">
        <f t="shared" si="1"/>
        <v>88</v>
      </c>
      <c r="R55" s="3">
        <f t="shared" si="2"/>
        <v>12</v>
      </c>
      <c r="S55" s="11"/>
    </row>
    <row r="56" ht="13.5" customHeight="1" spans="1:19">
      <c r="A56" s="4" t="s">
        <v>46</v>
      </c>
      <c r="B56" s="3">
        <v>1270</v>
      </c>
      <c r="C56" s="3">
        <v>8757</v>
      </c>
      <c r="D56" s="3">
        <v>0.1</v>
      </c>
      <c r="E56" s="4" t="s">
        <v>52</v>
      </c>
      <c r="F56" s="4" t="s">
        <v>53</v>
      </c>
      <c r="G56" s="4" t="s">
        <v>54</v>
      </c>
      <c r="H56" s="4" t="s">
        <v>40</v>
      </c>
      <c r="I56" s="4" t="s">
        <v>26</v>
      </c>
      <c r="J56" s="3">
        <v>3</v>
      </c>
      <c r="K56" s="3">
        <v>25</v>
      </c>
      <c r="L56" s="3">
        <v>20</v>
      </c>
      <c r="M56" s="3">
        <v>0</v>
      </c>
      <c r="N56" s="3">
        <v>0</v>
      </c>
      <c r="O56" s="3">
        <v>5</v>
      </c>
      <c r="P56" s="3">
        <f t="shared" si="0"/>
        <v>0</v>
      </c>
      <c r="Q56" s="3">
        <f t="shared" si="1"/>
        <v>80</v>
      </c>
      <c r="R56" s="3">
        <f t="shared" si="2"/>
        <v>20</v>
      </c>
      <c r="S56" s="11"/>
    </row>
    <row r="57" ht="13.5" customHeight="1" spans="1:19">
      <c r="A57" s="4" t="s">
        <v>46</v>
      </c>
      <c r="B57" s="3">
        <v>1270</v>
      </c>
      <c r="C57" s="3">
        <v>8757</v>
      </c>
      <c r="D57" s="3">
        <v>0.1</v>
      </c>
      <c r="E57" s="4" t="s">
        <v>52</v>
      </c>
      <c r="F57" s="4" t="s">
        <v>53</v>
      </c>
      <c r="G57" s="4" t="s">
        <v>54</v>
      </c>
      <c r="H57" s="4" t="s">
        <v>40</v>
      </c>
      <c r="I57" s="4" t="s">
        <v>26</v>
      </c>
      <c r="J57" s="3">
        <v>4</v>
      </c>
      <c r="K57" s="3">
        <v>25</v>
      </c>
      <c r="L57" s="3">
        <v>23</v>
      </c>
      <c r="M57" s="3">
        <v>1</v>
      </c>
      <c r="N57" s="3">
        <v>0</v>
      </c>
      <c r="O57" s="3">
        <v>1</v>
      </c>
      <c r="P57" s="3">
        <f t="shared" si="0"/>
        <v>0</v>
      </c>
      <c r="Q57" s="3">
        <f t="shared" si="1"/>
        <v>92</v>
      </c>
      <c r="R57" s="3">
        <f t="shared" si="2"/>
        <v>4</v>
      </c>
      <c r="S57" s="11"/>
    </row>
    <row r="58" ht="13.5" customHeight="1" spans="1:21">
      <c r="A58" s="4" t="s">
        <v>46</v>
      </c>
      <c r="B58" s="3">
        <v>1270</v>
      </c>
      <c r="C58" s="3">
        <v>8757</v>
      </c>
      <c r="D58" s="3">
        <v>0.1</v>
      </c>
      <c r="E58" s="4" t="s">
        <v>52</v>
      </c>
      <c r="F58" s="4" t="s">
        <v>55</v>
      </c>
      <c r="G58" s="4" t="s">
        <v>56</v>
      </c>
      <c r="H58" s="4" t="s">
        <v>40</v>
      </c>
      <c r="I58" s="4" t="s">
        <v>26</v>
      </c>
      <c r="J58" s="3">
        <v>1</v>
      </c>
      <c r="K58" s="3">
        <v>25</v>
      </c>
      <c r="L58" s="3">
        <v>0</v>
      </c>
      <c r="M58" s="3">
        <v>0</v>
      </c>
      <c r="N58" s="3">
        <v>0</v>
      </c>
      <c r="O58" s="3">
        <v>25</v>
      </c>
      <c r="P58" s="3">
        <f t="shared" si="0"/>
        <v>0</v>
      </c>
      <c r="Q58" s="3">
        <f t="shared" si="1"/>
        <v>0</v>
      </c>
      <c r="R58" s="3">
        <f t="shared" si="2"/>
        <v>100</v>
      </c>
      <c r="S58" s="11">
        <f>AVERAGE(Q58:Q61)</f>
        <v>0</v>
      </c>
      <c r="T58" s="7">
        <f>AVERAGE(R58:R61)</f>
        <v>100</v>
      </c>
      <c r="U58" s="8">
        <f>(L58+L59+L60+L61+O58+O59+O60+O61)/(K58+K59+K60+K61)*100</f>
        <v>100</v>
      </c>
    </row>
    <row r="59" ht="13.5" customHeight="1" spans="1:19">
      <c r="A59" s="4" t="s">
        <v>46</v>
      </c>
      <c r="B59" s="3">
        <v>1270</v>
      </c>
      <c r="C59" s="3">
        <v>8757</v>
      </c>
      <c r="D59" s="3">
        <v>0.1</v>
      </c>
      <c r="E59" s="4" t="s">
        <v>52</v>
      </c>
      <c r="F59" s="4" t="s">
        <v>55</v>
      </c>
      <c r="G59" s="4" t="s">
        <v>56</v>
      </c>
      <c r="H59" s="4" t="s">
        <v>40</v>
      </c>
      <c r="I59" s="4" t="s">
        <v>26</v>
      </c>
      <c r="J59" s="3">
        <v>2</v>
      </c>
      <c r="K59" s="3">
        <v>25</v>
      </c>
      <c r="L59" s="3">
        <v>0</v>
      </c>
      <c r="M59" s="3">
        <v>0</v>
      </c>
      <c r="N59" s="3">
        <v>0</v>
      </c>
      <c r="O59" s="3">
        <v>25</v>
      </c>
      <c r="P59" s="3">
        <f t="shared" si="0"/>
        <v>0</v>
      </c>
      <c r="Q59" s="3">
        <f t="shared" si="1"/>
        <v>0</v>
      </c>
      <c r="R59" s="3">
        <f t="shared" si="2"/>
        <v>100</v>
      </c>
      <c r="S59" s="11"/>
    </row>
    <row r="60" ht="13.5" customHeight="1" spans="1:19">
      <c r="A60" s="4" t="s">
        <v>46</v>
      </c>
      <c r="B60" s="3">
        <v>1270</v>
      </c>
      <c r="C60" s="3">
        <v>8757</v>
      </c>
      <c r="D60" s="3">
        <v>0.1</v>
      </c>
      <c r="E60" s="4" t="s">
        <v>52</v>
      </c>
      <c r="F60" s="4" t="s">
        <v>55</v>
      </c>
      <c r="G60" s="4" t="s">
        <v>56</v>
      </c>
      <c r="H60" s="4" t="s">
        <v>40</v>
      </c>
      <c r="I60" s="4" t="s">
        <v>26</v>
      </c>
      <c r="J60" s="3">
        <v>3</v>
      </c>
      <c r="K60" s="3">
        <v>25</v>
      </c>
      <c r="L60" s="3">
        <v>0</v>
      </c>
      <c r="M60" s="3">
        <v>0</v>
      </c>
      <c r="N60" s="3">
        <v>0</v>
      </c>
      <c r="O60" s="3">
        <v>25</v>
      </c>
      <c r="P60" s="3">
        <f t="shared" si="0"/>
        <v>0</v>
      </c>
      <c r="Q60" s="3">
        <f t="shared" si="1"/>
        <v>0</v>
      </c>
      <c r="R60" s="3">
        <f t="shared" si="2"/>
        <v>100</v>
      </c>
      <c r="S60" s="11"/>
    </row>
    <row r="61" ht="13.5" customHeight="1" spans="1:19">
      <c r="A61" s="4" t="s">
        <v>46</v>
      </c>
      <c r="B61" s="3">
        <v>1270</v>
      </c>
      <c r="C61" s="3">
        <v>8757</v>
      </c>
      <c r="D61" s="3">
        <v>0.1</v>
      </c>
      <c r="E61" s="4" t="s">
        <v>52</v>
      </c>
      <c r="F61" s="4" t="s">
        <v>55</v>
      </c>
      <c r="G61" s="4" t="s">
        <v>56</v>
      </c>
      <c r="H61" s="4" t="s">
        <v>40</v>
      </c>
      <c r="I61" s="4" t="s">
        <v>26</v>
      </c>
      <c r="J61" s="3">
        <v>4</v>
      </c>
      <c r="K61" s="3">
        <v>25</v>
      </c>
      <c r="L61" s="3">
        <v>0</v>
      </c>
      <c r="M61" s="3">
        <v>0</v>
      </c>
      <c r="N61" s="3">
        <v>0</v>
      </c>
      <c r="O61" s="3">
        <v>25</v>
      </c>
      <c r="P61" s="3">
        <f t="shared" si="0"/>
        <v>0</v>
      </c>
      <c r="Q61" s="3">
        <f t="shared" si="1"/>
        <v>0</v>
      </c>
      <c r="R61" s="3">
        <f t="shared" si="2"/>
        <v>100</v>
      </c>
      <c r="S61" s="11"/>
    </row>
    <row r="62" ht="13.5" customHeight="1" spans="1:21">
      <c r="A62" s="4" t="s">
        <v>57</v>
      </c>
      <c r="B62" s="3">
        <v>1847</v>
      </c>
      <c r="C62" s="3">
        <v>10763</v>
      </c>
      <c r="D62" s="3">
        <v>0.1</v>
      </c>
      <c r="E62" s="4" t="s">
        <v>52</v>
      </c>
      <c r="F62" s="4" t="s">
        <v>58</v>
      </c>
      <c r="G62" s="4" t="s">
        <v>59</v>
      </c>
      <c r="H62" s="4" t="s">
        <v>25</v>
      </c>
      <c r="I62" s="4" t="s">
        <v>26</v>
      </c>
      <c r="J62" s="3">
        <v>1</v>
      </c>
      <c r="K62" s="3">
        <v>20</v>
      </c>
      <c r="L62" s="3">
        <v>7</v>
      </c>
      <c r="M62" s="3">
        <v>4</v>
      </c>
      <c r="N62" s="3">
        <v>0</v>
      </c>
      <c r="O62" s="3">
        <v>9</v>
      </c>
      <c r="P62" s="3">
        <f t="shared" si="0"/>
        <v>0</v>
      </c>
      <c r="Q62" s="3">
        <f t="shared" si="1"/>
        <v>35</v>
      </c>
      <c r="R62" s="3">
        <f t="shared" si="2"/>
        <v>45</v>
      </c>
      <c r="S62" s="11">
        <f>AVERAGE(Q62:Q65)</f>
        <v>37.1577380952381</v>
      </c>
      <c r="T62" s="7">
        <f>AVERAGE(R62:R65)</f>
        <v>57.8422619047619</v>
      </c>
      <c r="U62" s="8">
        <f>(L62+L63+L64+L65+O62+O63+O64+O65)/(K62+K63+K64+K65)*100</f>
        <v>89.7058823529412</v>
      </c>
    </row>
    <row r="63" ht="13.5" customHeight="1" spans="1:19">
      <c r="A63" s="4" t="s">
        <v>57</v>
      </c>
      <c r="B63" s="3">
        <v>1847</v>
      </c>
      <c r="C63" s="3">
        <v>10763</v>
      </c>
      <c r="D63" s="3">
        <v>0.1</v>
      </c>
      <c r="E63" s="4" t="s">
        <v>52</v>
      </c>
      <c r="F63" s="4" t="s">
        <v>58</v>
      </c>
      <c r="G63" s="4" t="s">
        <v>59</v>
      </c>
      <c r="H63" s="4" t="s">
        <v>25</v>
      </c>
      <c r="I63" s="4" t="s">
        <v>26</v>
      </c>
      <c r="J63" s="3">
        <v>2</v>
      </c>
      <c r="K63" s="3">
        <v>16</v>
      </c>
      <c r="L63" s="3">
        <v>7</v>
      </c>
      <c r="M63" s="3">
        <v>0</v>
      </c>
      <c r="N63" s="3">
        <v>1</v>
      </c>
      <c r="O63" s="3">
        <v>8</v>
      </c>
      <c r="P63" s="3">
        <f t="shared" si="0"/>
        <v>0</v>
      </c>
      <c r="Q63" s="3">
        <f t="shared" si="1"/>
        <v>46.6666666666667</v>
      </c>
      <c r="R63" s="3">
        <f t="shared" si="2"/>
        <v>53.3333333333333</v>
      </c>
      <c r="S63" s="11"/>
    </row>
    <row r="64" ht="13.5" customHeight="1" spans="1:19">
      <c r="A64" s="4" t="s">
        <v>57</v>
      </c>
      <c r="B64" s="3">
        <v>1847</v>
      </c>
      <c r="C64" s="3">
        <v>10763</v>
      </c>
      <c r="D64" s="3">
        <v>0.1</v>
      </c>
      <c r="E64" s="4" t="s">
        <v>52</v>
      </c>
      <c r="F64" s="4" t="s">
        <v>58</v>
      </c>
      <c r="G64" s="4" t="s">
        <v>59</v>
      </c>
      <c r="H64" s="4" t="s">
        <v>25</v>
      </c>
      <c r="I64" s="4" t="s">
        <v>26</v>
      </c>
      <c r="J64" s="3">
        <v>3</v>
      </c>
      <c r="K64" s="3">
        <v>16</v>
      </c>
      <c r="L64" s="3">
        <v>5</v>
      </c>
      <c r="M64" s="3">
        <v>0</v>
      </c>
      <c r="N64" s="3">
        <v>0</v>
      </c>
      <c r="O64" s="3">
        <v>11</v>
      </c>
      <c r="P64" s="3">
        <f t="shared" si="0"/>
        <v>0</v>
      </c>
      <c r="Q64" s="3">
        <f t="shared" si="1"/>
        <v>31.25</v>
      </c>
      <c r="R64" s="3">
        <f t="shared" si="2"/>
        <v>68.75</v>
      </c>
      <c r="S64" s="11"/>
    </row>
    <row r="65" ht="13.5" customHeight="1" spans="1:19">
      <c r="A65" s="4" t="s">
        <v>57</v>
      </c>
      <c r="B65" s="3">
        <v>1847</v>
      </c>
      <c r="C65" s="3">
        <v>10763</v>
      </c>
      <c r="D65" s="3">
        <v>0.1</v>
      </c>
      <c r="E65" s="4" t="s">
        <v>52</v>
      </c>
      <c r="F65" s="4" t="s">
        <v>58</v>
      </c>
      <c r="G65" s="4" t="s">
        <v>59</v>
      </c>
      <c r="H65" s="4" t="s">
        <v>25</v>
      </c>
      <c r="I65" s="4" t="s">
        <v>26</v>
      </c>
      <c r="J65" s="3">
        <v>4</v>
      </c>
      <c r="K65" s="3">
        <v>16</v>
      </c>
      <c r="L65" s="3">
        <v>5</v>
      </c>
      <c r="M65" s="3">
        <v>0</v>
      </c>
      <c r="N65" s="3">
        <v>2</v>
      </c>
      <c r="O65" s="3">
        <v>9</v>
      </c>
      <c r="P65" s="3">
        <f t="shared" si="0"/>
        <v>0</v>
      </c>
      <c r="Q65" s="3">
        <f t="shared" si="1"/>
        <v>35.7142857142857</v>
      </c>
      <c r="R65" s="3">
        <f t="shared" si="2"/>
        <v>64.2857142857143</v>
      </c>
      <c r="S65" s="11"/>
    </row>
    <row r="66" ht="13.5" customHeight="1" spans="1:21">
      <c r="A66" s="4" t="s">
        <v>21</v>
      </c>
      <c r="B66" s="3">
        <v>1236</v>
      </c>
      <c r="C66" s="3">
        <v>8460</v>
      </c>
      <c r="D66" s="3">
        <v>0.1</v>
      </c>
      <c r="E66" s="4" t="s">
        <v>22</v>
      </c>
      <c r="F66" s="4" t="s">
        <v>51</v>
      </c>
      <c r="G66" s="4" t="s">
        <v>51</v>
      </c>
      <c r="H66" s="4" t="s">
        <v>25</v>
      </c>
      <c r="I66" s="4" t="s">
        <v>26</v>
      </c>
      <c r="J66" s="3">
        <v>1</v>
      </c>
      <c r="K66" s="3">
        <v>25</v>
      </c>
      <c r="L66" s="3">
        <v>25</v>
      </c>
      <c r="M66" s="3">
        <v>0</v>
      </c>
      <c r="N66" s="3">
        <v>0</v>
      </c>
      <c r="O66" s="3">
        <v>0</v>
      </c>
      <c r="P66" s="3">
        <f t="shared" si="0"/>
        <v>0</v>
      </c>
      <c r="Q66" s="3">
        <f t="shared" si="1"/>
        <v>100</v>
      </c>
      <c r="R66" s="3">
        <f t="shared" si="2"/>
        <v>0</v>
      </c>
      <c r="S66" s="11">
        <f>AVERAGE(Q66:Q69)</f>
        <v>100</v>
      </c>
      <c r="T66" s="7">
        <f>AVERAGE(R66:R69)</f>
        <v>0</v>
      </c>
      <c r="U66" s="8">
        <f>(L66+L67+L68+L69+O66+O67+O68+O69)/(K66+K67+K68+K69)*100</f>
        <v>100</v>
      </c>
    </row>
    <row r="67" ht="13.5" customHeight="1" spans="1:19">
      <c r="A67" s="4" t="s">
        <v>21</v>
      </c>
      <c r="B67" s="3">
        <v>1236</v>
      </c>
      <c r="C67" s="3">
        <v>8460</v>
      </c>
      <c r="D67" s="3">
        <v>0.1</v>
      </c>
      <c r="E67" s="4" t="s">
        <v>22</v>
      </c>
      <c r="F67" s="4" t="s">
        <v>51</v>
      </c>
      <c r="G67" s="4" t="s">
        <v>51</v>
      </c>
      <c r="H67" s="4" t="s">
        <v>25</v>
      </c>
      <c r="I67" s="4" t="s">
        <v>26</v>
      </c>
      <c r="J67" s="3">
        <v>2</v>
      </c>
      <c r="K67" s="3">
        <v>25</v>
      </c>
      <c r="L67" s="3">
        <v>25</v>
      </c>
      <c r="M67" s="3">
        <v>0</v>
      </c>
      <c r="N67" s="3">
        <v>0</v>
      </c>
      <c r="O67" s="3">
        <v>0</v>
      </c>
      <c r="P67" s="3">
        <f t="shared" si="0"/>
        <v>0</v>
      </c>
      <c r="Q67" s="3">
        <f t="shared" si="1"/>
        <v>100</v>
      </c>
      <c r="R67" s="3">
        <f t="shared" si="2"/>
        <v>0</v>
      </c>
      <c r="S67" s="11"/>
    </row>
    <row r="68" ht="13.5" customHeight="1" spans="1:19">
      <c r="A68" s="4" t="s">
        <v>21</v>
      </c>
      <c r="B68" s="3">
        <v>1236</v>
      </c>
      <c r="C68" s="3">
        <v>8460</v>
      </c>
      <c r="D68" s="3">
        <v>0.1</v>
      </c>
      <c r="E68" s="4" t="s">
        <v>22</v>
      </c>
      <c r="F68" s="4" t="s">
        <v>51</v>
      </c>
      <c r="G68" s="4" t="s">
        <v>51</v>
      </c>
      <c r="H68" s="4" t="s">
        <v>25</v>
      </c>
      <c r="I68" s="4" t="s">
        <v>26</v>
      </c>
      <c r="J68" s="3">
        <v>3</v>
      </c>
      <c r="K68" s="3">
        <v>25</v>
      </c>
      <c r="L68" s="3">
        <v>25</v>
      </c>
      <c r="M68" s="3">
        <v>0</v>
      </c>
      <c r="N68" s="3">
        <v>0</v>
      </c>
      <c r="O68" s="3">
        <v>0</v>
      </c>
      <c r="P68" s="3">
        <f t="shared" si="0"/>
        <v>0</v>
      </c>
      <c r="Q68" s="3">
        <f t="shared" si="1"/>
        <v>100</v>
      </c>
      <c r="R68" s="3">
        <f t="shared" si="2"/>
        <v>0</v>
      </c>
      <c r="S68" s="11"/>
    </row>
    <row r="69" ht="13.5" customHeight="1" spans="1:19">
      <c r="A69" s="4" t="s">
        <v>21</v>
      </c>
      <c r="B69" s="3">
        <v>1236</v>
      </c>
      <c r="C69" s="3">
        <v>8460</v>
      </c>
      <c r="D69" s="3">
        <v>0.1</v>
      </c>
      <c r="E69" s="4" t="s">
        <v>22</v>
      </c>
      <c r="F69" s="4" t="s">
        <v>51</v>
      </c>
      <c r="G69" s="4" t="s">
        <v>51</v>
      </c>
      <c r="H69" s="4" t="s">
        <v>25</v>
      </c>
      <c r="I69" s="4" t="s">
        <v>26</v>
      </c>
      <c r="J69" s="3">
        <v>4</v>
      </c>
      <c r="K69" s="3">
        <v>25</v>
      </c>
      <c r="L69" s="3">
        <v>25</v>
      </c>
      <c r="M69" s="3">
        <v>0</v>
      </c>
      <c r="N69" s="3">
        <v>0</v>
      </c>
      <c r="O69" s="3">
        <v>0</v>
      </c>
      <c r="P69" s="3">
        <f t="shared" si="0"/>
        <v>0</v>
      </c>
      <c r="Q69" s="3">
        <f t="shared" si="1"/>
        <v>100</v>
      </c>
      <c r="R69" s="3">
        <f t="shared" si="2"/>
        <v>0</v>
      </c>
      <c r="S69" s="11"/>
    </row>
    <row r="70" ht="13.5" customHeight="1" spans="1:21">
      <c r="A70" s="4" t="s">
        <v>60</v>
      </c>
      <c r="B70" s="3">
        <v>1330</v>
      </c>
      <c r="C70" s="3">
        <v>9133</v>
      </c>
      <c r="D70" s="3">
        <v>0.1</v>
      </c>
      <c r="E70" s="4" t="s">
        <v>52</v>
      </c>
      <c r="F70" s="4" t="s">
        <v>53</v>
      </c>
      <c r="G70" s="4" t="s">
        <v>54</v>
      </c>
      <c r="H70" s="4" t="s">
        <v>40</v>
      </c>
      <c r="I70" s="4" t="s">
        <v>26</v>
      </c>
      <c r="J70" s="3">
        <v>1</v>
      </c>
      <c r="K70" s="3">
        <v>25</v>
      </c>
      <c r="L70" s="3">
        <v>20</v>
      </c>
      <c r="M70" s="3">
        <v>0</v>
      </c>
      <c r="N70" s="3">
        <v>4</v>
      </c>
      <c r="O70" s="3">
        <v>1</v>
      </c>
      <c r="P70" s="3">
        <f t="shared" si="0"/>
        <v>0</v>
      </c>
      <c r="Q70" s="3">
        <f t="shared" si="1"/>
        <v>95.2380952380952</v>
      </c>
      <c r="R70" s="3">
        <f t="shared" si="2"/>
        <v>4.76190476190476</v>
      </c>
      <c r="S70" s="11">
        <f>AVERAGE(Q70:Q73)</f>
        <v>78.6996753246753</v>
      </c>
      <c r="T70" s="7">
        <f>AVERAGE(R70:R73)</f>
        <v>14.7662337662338</v>
      </c>
      <c r="U70" s="8">
        <f>(L70+L71+L72+L73+O70+O71+O72+O73)/(K70+K71+K72+K73)*100</f>
        <v>86</v>
      </c>
    </row>
    <row r="71" ht="13.5" customHeight="1" spans="1:19">
      <c r="A71" s="4" t="s">
        <v>60</v>
      </c>
      <c r="B71" s="3">
        <v>1330</v>
      </c>
      <c r="C71" s="3">
        <v>9133</v>
      </c>
      <c r="D71" s="3">
        <v>0.1</v>
      </c>
      <c r="E71" s="4" t="s">
        <v>52</v>
      </c>
      <c r="F71" s="4" t="s">
        <v>53</v>
      </c>
      <c r="G71" s="4" t="s">
        <v>54</v>
      </c>
      <c r="H71" s="4" t="s">
        <v>40</v>
      </c>
      <c r="I71" s="4" t="s">
        <v>26</v>
      </c>
      <c r="J71" s="3">
        <v>2</v>
      </c>
      <c r="K71" s="3">
        <v>25</v>
      </c>
      <c r="L71" s="3">
        <v>19</v>
      </c>
      <c r="M71" s="3">
        <v>0</v>
      </c>
      <c r="N71" s="3">
        <v>0</v>
      </c>
      <c r="O71" s="3">
        <v>6</v>
      </c>
      <c r="P71" s="3">
        <f t="shared" si="0"/>
        <v>0</v>
      </c>
      <c r="Q71" s="3">
        <f t="shared" si="1"/>
        <v>76</v>
      </c>
      <c r="R71" s="3">
        <f t="shared" si="2"/>
        <v>24</v>
      </c>
      <c r="S71" s="11"/>
    </row>
    <row r="72" ht="13.5" customHeight="1" spans="1:19">
      <c r="A72" s="4" t="s">
        <v>60</v>
      </c>
      <c r="B72" s="3">
        <v>1330</v>
      </c>
      <c r="C72" s="3">
        <v>9133</v>
      </c>
      <c r="D72" s="3">
        <v>0.1</v>
      </c>
      <c r="E72" s="4" t="s">
        <v>52</v>
      </c>
      <c r="F72" s="4" t="s">
        <v>53</v>
      </c>
      <c r="G72" s="4" t="s">
        <v>54</v>
      </c>
      <c r="H72" s="4" t="s">
        <v>40</v>
      </c>
      <c r="I72" s="4" t="s">
        <v>26</v>
      </c>
      <c r="J72" s="3">
        <v>3</v>
      </c>
      <c r="K72" s="3">
        <v>25</v>
      </c>
      <c r="L72" s="3">
        <v>16</v>
      </c>
      <c r="M72" s="3">
        <v>3</v>
      </c>
      <c r="N72" s="3">
        <v>3</v>
      </c>
      <c r="O72" s="3">
        <v>3</v>
      </c>
      <c r="P72" s="3">
        <f t="shared" si="0"/>
        <v>0</v>
      </c>
      <c r="Q72" s="3">
        <f t="shared" si="1"/>
        <v>72.7272727272727</v>
      </c>
      <c r="R72" s="3">
        <f t="shared" si="2"/>
        <v>13.6363636363636</v>
      </c>
      <c r="S72" s="11"/>
    </row>
    <row r="73" ht="13.5" customHeight="1" spans="1:19">
      <c r="A73" s="4" t="s">
        <v>60</v>
      </c>
      <c r="B73" s="3">
        <v>1330</v>
      </c>
      <c r="C73" s="3">
        <v>9133</v>
      </c>
      <c r="D73" s="3">
        <v>0.1</v>
      </c>
      <c r="E73" s="4" t="s">
        <v>52</v>
      </c>
      <c r="F73" s="4" t="s">
        <v>53</v>
      </c>
      <c r="G73" s="4" t="s">
        <v>54</v>
      </c>
      <c r="H73" s="4" t="s">
        <v>40</v>
      </c>
      <c r="I73" s="4" t="s">
        <v>26</v>
      </c>
      <c r="J73" s="3">
        <v>4</v>
      </c>
      <c r="K73" s="3">
        <v>25</v>
      </c>
      <c r="L73" s="3">
        <v>17</v>
      </c>
      <c r="M73" s="3">
        <v>3</v>
      </c>
      <c r="N73" s="3">
        <v>1</v>
      </c>
      <c r="O73" s="3">
        <v>4</v>
      </c>
      <c r="P73" s="3">
        <f t="shared" si="0"/>
        <v>0</v>
      </c>
      <c r="Q73" s="3">
        <f t="shared" si="1"/>
        <v>70.8333333333333</v>
      </c>
      <c r="R73" s="3">
        <f t="shared" si="2"/>
        <v>16.6666666666667</v>
      </c>
      <c r="S73" s="11"/>
    </row>
    <row r="74" ht="13.5" customHeight="1" spans="1:21">
      <c r="A74" s="4" t="s">
        <v>57</v>
      </c>
      <c r="B74" s="3">
        <v>1847</v>
      </c>
      <c r="C74" s="3">
        <v>10763</v>
      </c>
      <c r="D74" s="3">
        <v>0.1</v>
      </c>
      <c r="E74" s="4" t="s">
        <v>52</v>
      </c>
      <c r="F74" s="4" t="s">
        <v>53</v>
      </c>
      <c r="G74" s="4" t="s">
        <v>61</v>
      </c>
      <c r="H74" s="4" t="s">
        <v>62</v>
      </c>
      <c r="I74" s="4" t="s">
        <v>26</v>
      </c>
      <c r="J74" s="3">
        <v>1</v>
      </c>
      <c r="K74" s="3">
        <v>25</v>
      </c>
      <c r="L74" s="3">
        <v>8</v>
      </c>
      <c r="M74" s="3">
        <v>14</v>
      </c>
      <c r="N74" s="3">
        <v>3</v>
      </c>
      <c r="O74" s="3">
        <v>0</v>
      </c>
      <c r="P74" s="3">
        <f t="shared" si="0"/>
        <v>0</v>
      </c>
      <c r="Q74" s="3">
        <f t="shared" si="1"/>
        <v>36.3636363636364</v>
      </c>
      <c r="R74" s="3">
        <f t="shared" si="2"/>
        <v>0</v>
      </c>
      <c r="S74" s="11">
        <f>AVERAGE(Q74:Q77)</f>
        <v>41.3619894598155</v>
      </c>
      <c r="T74" s="7">
        <f>AVERAGE(R74:R77)</f>
        <v>0</v>
      </c>
      <c r="U74" s="8">
        <f>(L74+L75+L76+L77+O74+O75+O76+O77)/(K74+K75+K76+K77)*100</f>
        <v>38</v>
      </c>
    </row>
    <row r="75" ht="13.5" customHeight="1" spans="1:19">
      <c r="A75" s="4" t="s">
        <v>57</v>
      </c>
      <c r="B75" s="3">
        <v>1847</v>
      </c>
      <c r="C75" s="3">
        <v>10763</v>
      </c>
      <c r="D75" s="3">
        <v>0.1</v>
      </c>
      <c r="E75" s="4" t="s">
        <v>52</v>
      </c>
      <c r="F75" s="4" t="s">
        <v>53</v>
      </c>
      <c r="G75" s="4" t="s">
        <v>61</v>
      </c>
      <c r="H75" s="4" t="s">
        <v>62</v>
      </c>
      <c r="I75" s="4" t="s">
        <v>26</v>
      </c>
      <c r="J75" s="3">
        <v>2</v>
      </c>
      <c r="K75" s="3">
        <v>25</v>
      </c>
      <c r="L75" s="3">
        <v>14</v>
      </c>
      <c r="M75" s="3">
        <v>10</v>
      </c>
      <c r="N75" s="3">
        <v>1</v>
      </c>
      <c r="O75" s="3">
        <v>0</v>
      </c>
      <c r="P75" s="3">
        <f t="shared" si="0"/>
        <v>0</v>
      </c>
      <c r="Q75" s="3">
        <f t="shared" si="1"/>
        <v>58.3333333333333</v>
      </c>
      <c r="R75" s="3">
        <f t="shared" si="2"/>
        <v>0</v>
      </c>
      <c r="S75" s="11"/>
    </row>
    <row r="76" ht="13.5" customHeight="1" spans="1:19">
      <c r="A76" s="4" t="s">
        <v>57</v>
      </c>
      <c r="B76" s="3">
        <v>1847</v>
      </c>
      <c r="C76" s="3">
        <v>10763</v>
      </c>
      <c r="D76" s="3">
        <v>0.1</v>
      </c>
      <c r="E76" s="4" t="s">
        <v>52</v>
      </c>
      <c r="F76" s="4" t="s">
        <v>53</v>
      </c>
      <c r="G76" s="4" t="s">
        <v>61</v>
      </c>
      <c r="H76" s="4" t="s">
        <v>62</v>
      </c>
      <c r="I76" s="4" t="s">
        <v>26</v>
      </c>
      <c r="J76" s="3">
        <v>3</v>
      </c>
      <c r="K76" s="3">
        <v>25</v>
      </c>
      <c r="L76" s="3">
        <v>6</v>
      </c>
      <c r="M76" s="3">
        <v>16</v>
      </c>
      <c r="N76" s="3">
        <v>3</v>
      </c>
      <c r="O76" s="3">
        <v>0</v>
      </c>
      <c r="P76" s="3">
        <f t="shared" si="0"/>
        <v>0</v>
      </c>
      <c r="Q76" s="3">
        <f t="shared" si="1"/>
        <v>27.2727272727273</v>
      </c>
      <c r="R76" s="3">
        <f t="shared" si="2"/>
        <v>0</v>
      </c>
      <c r="S76" s="11"/>
    </row>
    <row r="77" ht="13.5" customHeight="1" spans="1:19">
      <c r="A77" s="4" t="s">
        <v>57</v>
      </c>
      <c r="B77" s="3">
        <v>1847</v>
      </c>
      <c r="C77" s="3">
        <v>10763</v>
      </c>
      <c r="D77" s="3">
        <v>0.1</v>
      </c>
      <c r="E77" s="4" t="s">
        <v>52</v>
      </c>
      <c r="F77" s="4" t="s">
        <v>53</v>
      </c>
      <c r="G77" s="4" t="s">
        <v>61</v>
      </c>
      <c r="H77" s="4" t="s">
        <v>62</v>
      </c>
      <c r="I77" s="4" t="s">
        <v>26</v>
      </c>
      <c r="J77" s="3">
        <v>4</v>
      </c>
      <c r="K77" s="3">
        <v>25</v>
      </c>
      <c r="L77" s="3">
        <v>10</v>
      </c>
      <c r="M77" s="3">
        <v>13</v>
      </c>
      <c r="N77" s="3">
        <v>2</v>
      </c>
      <c r="O77" s="3">
        <v>0</v>
      </c>
      <c r="P77" s="3">
        <f t="shared" si="0"/>
        <v>0</v>
      </c>
      <c r="Q77" s="3">
        <f t="shared" si="1"/>
        <v>43.4782608695652</v>
      </c>
      <c r="R77" s="3">
        <f t="shared" si="2"/>
        <v>0</v>
      </c>
      <c r="S77" s="11"/>
    </row>
    <row r="78" ht="13.5" customHeight="1" spans="1:21">
      <c r="A78" s="4" t="s">
        <v>63</v>
      </c>
      <c r="B78" s="3">
        <v>1020</v>
      </c>
      <c r="C78" s="3">
        <v>5331</v>
      </c>
      <c r="D78" s="3">
        <v>2</v>
      </c>
      <c r="E78" s="4" t="s">
        <v>33</v>
      </c>
      <c r="F78" s="4" t="s">
        <v>64</v>
      </c>
      <c r="G78" s="4" t="s">
        <v>65</v>
      </c>
      <c r="H78" s="4" t="s">
        <v>40</v>
      </c>
      <c r="I78" s="4" t="s">
        <v>26</v>
      </c>
      <c r="J78" s="3">
        <v>1</v>
      </c>
      <c r="K78" s="3">
        <v>25</v>
      </c>
      <c r="L78" s="3">
        <v>14</v>
      </c>
      <c r="M78" s="3">
        <v>4</v>
      </c>
      <c r="N78" s="3">
        <v>0</v>
      </c>
      <c r="O78" s="3">
        <v>7</v>
      </c>
      <c r="P78" s="3">
        <f t="shared" si="0"/>
        <v>0</v>
      </c>
      <c r="Q78" s="3">
        <f t="shared" si="1"/>
        <v>56</v>
      </c>
      <c r="R78" s="3">
        <f t="shared" si="2"/>
        <v>28</v>
      </c>
      <c r="S78" s="11">
        <f>AVERAGE(Q78:Q81)</f>
        <v>64</v>
      </c>
      <c r="T78" s="7">
        <f>AVERAGE(R78:R81)</f>
        <v>27.8333333333333</v>
      </c>
      <c r="U78" s="8">
        <f>(L78+L79+L80+L81+O78+O79+O80+O81)/(K78+K79+K80+K81)*100</f>
        <v>89</v>
      </c>
    </row>
    <row r="79" ht="13.5" customHeight="1" spans="1:19">
      <c r="A79" s="4" t="s">
        <v>63</v>
      </c>
      <c r="B79" s="3">
        <v>1020</v>
      </c>
      <c r="C79" s="3">
        <v>5331</v>
      </c>
      <c r="D79" s="3">
        <v>2</v>
      </c>
      <c r="E79" s="4" t="s">
        <v>33</v>
      </c>
      <c r="F79" s="4" t="s">
        <v>64</v>
      </c>
      <c r="G79" s="4" t="s">
        <v>65</v>
      </c>
      <c r="H79" s="4" t="s">
        <v>40</v>
      </c>
      <c r="I79" s="4" t="s">
        <v>26</v>
      </c>
      <c r="J79" s="3">
        <v>2</v>
      </c>
      <c r="K79" s="3">
        <v>25</v>
      </c>
      <c r="L79" s="3">
        <v>16</v>
      </c>
      <c r="M79" s="3">
        <v>2</v>
      </c>
      <c r="N79" s="3">
        <v>1</v>
      </c>
      <c r="O79" s="3">
        <v>6</v>
      </c>
      <c r="P79" s="3">
        <f t="shared" si="0"/>
        <v>0</v>
      </c>
      <c r="Q79" s="3">
        <f t="shared" si="1"/>
        <v>66.6666666666667</v>
      </c>
      <c r="R79" s="3">
        <f t="shared" si="2"/>
        <v>25</v>
      </c>
      <c r="S79" s="11"/>
    </row>
    <row r="80" ht="13.5" customHeight="1" spans="1:19">
      <c r="A80" s="4" t="s">
        <v>63</v>
      </c>
      <c r="B80" s="3">
        <v>1020</v>
      </c>
      <c r="C80" s="3">
        <v>5331</v>
      </c>
      <c r="D80" s="3">
        <v>2</v>
      </c>
      <c r="E80" s="4" t="s">
        <v>33</v>
      </c>
      <c r="F80" s="4" t="s">
        <v>64</v>
      </c>
      <c r="G80" s="4" t="s">
        <v>65</v>
      </c>
      <c r="H80" s="4" t="s">
        <v>40</v>
      </c>
      <c r="I80" s="4" t="s">
        <v>26</v>
      </c>
      <c r="J80" s="3">
        <v>3</v>
      </c>
      <c r="K80" s="3">
        <v>25</v>
      </c>
      <c r="L80" s="3">
        <v>17</v>
      </c>
      <c r="M80" s="3">
        <v>0</v>
      </c>
      <c r="N80" s="3">
        <v>1</v>
      </c>
      <c r="O80" s="3">
        <v>7</v>
      </c>
      <c r="P80" s="3">
        <f t="shared" si="0"/>
        <v>0</v>
      </c>
      <c r="Q80" s="3">
        <f t="shared" si="1"/>
        <v>70.8333333333333</v>
      </c>
      <c r="R80" s="3">
        <f t="shared" si="2"/>
        <v>29.1666666666667</v>
      </c>
      <c r="S80" s="11"/>
    </row>
    <row r="81" ht="13.5" customHeight="1" spans="1:19">
      <c r="A81" s="4" t="s">
        <v>63</v>
      </c>
      <c r="B81" s="3">
        <v>1020</v>
      </c>
      <c r="C81" s="3">
        <v>5331</v>
      </c>
      <c r="D81" s="3">
        <v>2</v>
      </c>
      <c r="E81" s="4" t="s">
        <v>33</v>
      </c>
      <c r="F81" s="4" t="s">
        <v>64</v>
      </c>
      <c r="G81" s="4" t="s">
        <v>65</v>
      </c>
      <c r="H81" s="4" t="s">
        <v>40</v>
      </c>
      <c r="I81" s="4" t="s">
        <v>26</v>
      </c>
      <c r="J81" s="3">
        <v>4</v>
      </c>
      <c r="K81" s="3">
        <v>25</v>
      </c>
      <c r="L81" s="3">
        <v>15</v>
      </c>
      <c r="M81" s="3">
        <v>2</v>
      </c>
      <c r="N81" s="3">
        <v>1</v>
      </c>
      <c r="O81" s="3">
        <v>7</v>
      </c>
      <c r="P81" s="3">
        <f t="shared" si="0"/>
        <v>0</v>
      </c>
      <c r="Q81" s="3">
        <f t="shared" si="1"/>
        <v>62.5</v>
      </c>
      <c r="R81" s="3">
        <f t="shared" si="2"/>
        <v>29.1666666666667</v>
      </c>
      <c r="S81" s="11"/>
    </row>
    <row r="82" ht="13.5" customHeight="1" spans="1:21">
      <c r="A82" s="4" t="s">
        <v>47</v>
      </c>
      <c r="B82" s="3">
        <v>1504</v>
      </c>
      <c r="C82" s="3">
        <v>9859</v>
      </c>
      <c r="D82" s="3">
        <v>0.1</v>
      </c>
      <c r="E82" s="4" t="s">
        <v>52</v>
      </c>
      <c r="F82" s="4" t="s">
        <v>53</v>
      </c>
      <c r="G82" s="4" t="s">
        <v>54</v>
      </c>
      <c r="H82" s="4" t="s">
        <v>40</v>
      </c>
      <c r="I82" s="4" t="s">
        <v>26</v>
      </c>
      <c r="J82" s="3">
        <v>1</v>
      </c>
      <c r="K82" s="3">
        <v>25</v>
      </c>
      <c r="L82" s="3">
        <v>16</v>
      </c>
      <c r="M82" s="3">
        <v>0</v>
      </c>
      <c r="N82" s="3">
        <v>5</v>
      </c>
      <c r="O82" s="3">
        <v>4</v>
      </c>
      <c r="P82" s="3">
        <f t="shared" si="0"/>
        <v>0</v>
      </c>
      <c r="Q82" s="3">
        <f t="shared" si="1"/>
        <v>80</v>
      </c>
      <c r="R82" s="3">
        <f t="shared" si="2"/>
        <v>20</v>
      </c>
      <c r="S82" s="11">
        <f>AVERAGE(Q82:Q85)</f>
        <v>74.0844481605351</v>
      </c>
      <c r="T82" s="7">
        <f>AVERAGE(R82:R85)</f>
        <v>6.25</v>
      </c>
      <c r="U82" s="8">
        <f>(L82+L83+L84+L85+O82+O83+O84+O85)/(K82+K83+K84+K85)*100</f>
        <v>70.2970297029703</v>
      </c>
    </row>
    <row r="83" ht="13.5" customHeight="1" spans="1:19">
      <c r="A83" s="4" t="s">
        <v>47</v>
      </c>
      <c r="B83" s="3">
        <v>1504</v>
      </c>
      <c r="C83" s="3">
        <v>9859</v>
      </c>
      <c r="D83" s="3">
        <v>0.1</v>
      </c>
      <c r="E83" s="4" t="s">
        <v>52</v>
      </c>
      <c r="F83" s="4" t="s">
        <v>53</v>
      </c>
      <c r="G83" s="4" t="s">
        <v>54</v>
      </c>
      <c r="H83" s="4" t="s">
        <v>40</v>
      </c>
      <c r="I83" s="4" t="s">
        <v>26</v>
      </c>
      <c r="J83" s="3">
        <v>2</v>
      </c>
      <c r="K83" s="3">
        <v>25</v>
      </c>
      <c r="L83" s="3">
        <v>18</v>
      </c>
      <c r="M83" s="3">
        <v>5</v>
      </c>
      <c r="N83" s="3">
        <v>2</v>
      </c>
      <c r="O83" s="3">
        <v>0</v>
      </c>
      <c r="P83" s="3">
        <f t="shared" si="0"/>
        <v>0</v>
      </c>
      <c r="Q83" s="3">
        <f t="shared" si="1"/>
        <v>78.2608695652174</v>
      </c>
      <c r="R83" s="3">
        <f t="shared" si="2"/>
        <v>0</v>
      </c>
      <c r="S83" s="11"/>
    </row>
    <row r="84" ht="13.5" customHeight="1" spans="1:19">
      <c r="A84" s="4" t="s">
        <v>47</v>
      </c>
      <c r="B84" s="3">
        <v>1504</v>
      </c>
      <c r="C84" s="3">
        <v>9859</v>
      </c>
      <c r="D84" s="3">
        <v>0.1</v>
      </c>
      <c r="E84" s="4" t="s">
        <v>52</v>
      </c>
      <c r="F84" s="4" t="s">
        <v>53</v>
      </c>
      <c r="G84" s="4" t="s">
        <v>54</v>
      </c>
      <c r="H84" s="4" t="s">
        <v>40</v>
      </c>
      <c r="I84" s="4" t="s">
        <v>26</v>
      </c>
      <c r="J84" s="3">
        <v>3</v>
      </c>
      <c r="K84" s="3">
        <v>25</v>
      </c>
      <c r="L84" s="3">
        <v>13</v>
      </c>
      <c r="M84" s="3">
        <v>6</v>
      </c>
      <c r="N84" s="3">
        <v>5</v>
      </c>
      <c r="O84" s="3">
        <v>1</v>
      </c>
      <c r="P84" s="3">
        <f t="shared" si="0"/>
        <v>0</v>
      </c>
      <c r="Q84" s="3">
        <f t="shared" si="1"/>
        <v>65</v>
      </c>
      <c r="R84" s="3">
        <f t="shared" si="2"/>
        <v>5</v>
      </c>
      <c r="S84" s="11"/>
    </row>
    <row r="85" ht="13.5" customHeight="1" spans="1:19">
      <c r="A85" s="4" t="s">
        <v>47</v>
      </c>
      <c r="B85" s="3">
        <v>1504</v>
      </c>
      <c r="C85" s="3">
        <v>9859</v>
      </c>
      <c r="D85" s="3">
        <v>0.1</v>
      </c>
      <c r="E85" s="4" t="s">
        <v>52</v>
      </c>
      <c r="F85" s="4" t="s">
        <v>53</v>
      </c>
      <c r="G85" s="4" t="s">
        <v>54</v>
      </c>
      <c r="H85" s="4" t="s">
        <v>40</v>
      </c>
      <c r="I85" s="4" t="s">
        <v>26</v>
      </c>
      <c r="J85" s="3">
        <v>4</v>
      </c>
      <c r="K85" s="3">
        <v>26</v>
      </c>
      <c r="L85" s="3">
        <v>19</v>
      </c>
      <c r="M85" s="3">
        <v>7</v>
      </c>
      <c r="N85" s="3">
        <v>0</v>
      </c>
      <c r="O85" s="3">
        <v>0</v>
      </c>
      <c r="P85" s="3">
        <f t="shared" si="0"/>
        <v>0</v>
      </c>
      <c r="Q85" s="3">
        <f t="shared" si="1"/>
        <v>73.0769230769231</v>
      </c>
      <c r="R85" s="3">
        <f t="shared" si="2"/>
        <v>0</v>
      </c>
      <c r="S85" s="11"/>
    </row>
    <row r="86" ht="13.5" customHeight="1" spans="1:21">
      <c r="A86" s="4" t="s">
        <v>66</v>
      </c>
      <c r="B86" s="3">
        <v>1153</v>
      </c>
      <c r="C86" s="3">
        <v>7684</v>
      </c>
      <c r="D86" s="3">
        <v>0.1</v>
      </c>
      <c r="E86" s="4" t="s">
        <v>33</v>
      </c>
      <c r="F86" s="4" t="s">
        <v>67</v>
      </c>
      <c r="G86" s="4" t="s">
        <v>68</v>
      </c>
      <c r="H86" s="4" t="s">
        <v>40</v>
      </c>
      <c r="I86" s="4" t="s">
        <v>26</v>
      </c>
      <c r="J86" s="3">
        <v>1</v>
      </c>
      <c r="K86" s="3">
        <v>25</v>
      </c>
      <c r="L86" s="3">
        <v>21</v>
      </c>
      <c r="M86" s="3">
        <v>3</v>
      </c>
      <c r="N86" s="3">
        <v>1</v>
      </c>
      <c r="O86" s="3">
        <v>0</v>
      </c>
      <c r="P86" s="3">
        <f t="shared" si="0"/>
        <v>0</v>
      </c>
      <c r="Q86" s="3">
        <f t="shared" si="1"/>
        <v>87.5</v>
      </c>
      <c r="R86" s="3">
        <f t="shared" si="2"/>
        <v>0</v>
      </c>
      <c r="S86" s="11">
        <f>AVERAGE(Q86:Q89)</f>
        <v>91.6666666666667</v>
      </c>
      <c r="T86" s="7">
        <f>AVERAGE(R86:R89)</f>
        <v>5.20833333333334</v>
      </c>
      <c r="U86" s="8">
        <f>(L86+L87+L88+L89+O86+O87+O88+O89)/(K86+K87+K88+K89)*100</f>
        <v>94</v>
      </c>
    </row>
    <row r="87" ht="13.5" customHeight="1" spans="1:19">
      <c r="A87" s="4" t="s">
        <v>66</v>
      </c>
      <c r="B87" s="3">
        <v>1153</v>
      </c>
      <c r="C87" s="3">
        <v>7684</v>
      </c>
      <c r="D87" s="3">
        <v>0.1</v>
      </c>
      <c r="E87" s="4" t="s">
        <v>33</v>
      </c>
      <c r="F87" s="4" t="s">
        <v>67</v>
      </c>
      <c r="G87" s="4" t="s">
        <v>68</v>
      </c>
      <c r="H87" s="4" t="s">
        <v>40</v>
      </c>
      <c r="I87" s="4" t="s">
        <v>26</v>
      </c>
      <c r="J87" s="3">
        <v>2</v>
      </c>
      <c r="K87" s="3">
        <v>25</v>
      </c>
      <c r="L87" s="3">
        <v>23</v>
      </c>
      <c r="M87" s="3">
        <v>0</v>
      </c>
      <c r="N87" s="3">
        <v>1</v>
      </c>
      <c r="O87" s="3">
        <v>1</v>
      </c>
      <c r="P87" s="3">
        <f t="shared" si="0"/>
        <v>0</v>
      </c>
      <c r="Q87" s="3">
        <f t="shared" si="1"/>
        <v>95.8333333333333</v>
      </c>
      <c r="R87" s="3">
        <f t="shared" si="2"/>
        <v>4.16666666666667</v>
      </c>
      <c r="S87" s="11"/>
    </row>
    <row r="88" ht="13.5" customHeight="1" spans="1:19">
      <c r="A88" s="4" t="s">
        <v>66</v>
      </c>
      <c r="B88" s="3">
        <v>1153</v>
      </c>
      <c r="C88" s="3">
        <v>7684</v>
      </c>
      <c r="D88" s="3">
        <v>0.1</v>
      </c>
      <c r="E88" s="4" t="s">
        <v>33</v>
      </c>
      <c r="F88" s="4" t="s">
        <v>67</v>
      </c>
      <c r="G88" s="4" t="s">
        <v>68</v>
      </c>
      <c r="H88" s="4" t="s">
        <v>40</v>
      </c>
      <c r="I88" s="4" t="s">
        <v>26</v>
      </c>
      <c r="J88" s="3">
        <v>3</v>
      </c>
      <c r="K88" s="3">
        <v>25</v>
      </c>
      <c r="L88" s="3">
        <v>25</v>
      </c>
      <c r="M88" s="3">
        <v>0</v>
      </c>
      <c r="N88" s="3">
        <v>0</v>
      </c>
      <c r="O88" s="3">
        <v>0</v>
      </c>
      <c r="P88" s="3">
        <f t="shared" si="0"/>
        <v>0</v>
      </c>
      <c r="Q88" s="3">
        <f t="shared" si="1"/>
        <v>100</v>
      </c>
      <c r="R88" s="3">
        <f t="shared" si="2"/>
        <v>0</v>
      </c>
      <c r="S88" s="11"/>
    </row>
    <row r="89" ht="13.5" customHeight="1" spans="1:19">
      <c r="A89" s="4" t="s">
        <v>66</v>
      </c>
      <c r="B89" s="3">
        <v>1153</v>
      </c>
      <c r="C89" s="3">
        <v>7684</v>
      </c>
      <c r="D89" s="3">
        <v>0.1</v>
      </c>
      <c r="E89" s="4" t="s">
        <v>33</v>
      </c>
      <c r="F89" s="4" t="s">
        <v>67</v>
      </c>
      <c r="G89" s="4" t="s">
        <v>68</v>
      </c>
      <c r="H89" s="4" t="s">
        <v>40</v>
      </c>
      <c r="I89" s="4" t="s">
        <v>26</v>
      </c>
      <c r="J89" s="3">
        <v>4</v>
      </c>
      <c r="K89" s="3">
        <v>25</v>
      </c>
      <c r="L89" s="3">
        <v>20</v>
      </c>
      <c r="M89" s="3">
        <v>0</v>
      </c>
      <c r="N89" s="3">
        <v>1</v>
      </c>
      <c r="O89" s="3">
        <v>4</v>
      </c>
      <c r="P89" s="3">
        <f t="shared" si="0"/>
        <v>0</v>
      </c>
      <c r="Q89" s="3">
        <f t="shared" si="1"/>
        <v>83.3333333333333</v>
      </c>
      <c r="R89" s="3">
        <f t="shared" si="2"/>
        <v>16.6666666666667</v>
      </c>
      <c r="S89" s="11"/>
    </row>
    <row r="90" ht="13.5" customHeight="1" spans="1:21">
      <c r="A90" s="4" t="s">
        <v>37</v>
      </c>
      <c r="B90" s="3">
        <v>1016</v>
      </c>
      <c r="C90" s="3">
        <v>5657</v>
      </c>
      <c r="D90" s="3">
        <v>1</v>
      </c>
      <c r="E90" s="4" t="s">
        <v>33</v>
      </c>
      <c r="F90" s="4" t="s">
        <v>64</v>
      </c>
      <c r="G90" s="4" t="s">
        <v>65</v>
      </c>
      <c r="H90" s="4" t="s">
        <v>40</v>
      </c>
      <c r="I90" s="4" t="s">
        <v>26</v>
      </c>
      <c r="J90" s="3">
        <v>1</v>
      </c>
      <c r="K90" s="3">
        <v>25</v>
      </c>
      <c r="L90" s="3">
        <v>13</v>
      </c>
      <c r="M90" s="3">
        <v>2</v>
      </c>
      <c r="N90" s="3">
        <v>1</v>
      </c>
      <c r="O90" s="3">
        <v>9</v>
      </c>
      <c r="P90" s="3">
        <f t="shared" si="0"/>
        <v>0</v>
      </c>
      <c r="Q90" s="3">
        <f t="shared" si="1"/>
        <v>54.1666666666667</v>
      </c>
      <c r="R90" s="3">
        <f t="shared" si="2"/>
        <v>37.5</v>
      </c>
      <c r="S90" s="11">
        <f>AVERAGE(Q90:Q93)</f>
        <v>58.9221014492754</v>
      </c>
      <c r="T90" s="7">
        <f>AVERAGE(R90:R93)</f>
        <v>30.4800724637681</v>
      </c>
      <c r="U90" s="8">
        <f>(L90+L91+L92+L93+O90+O91+O92+O93)/(K90+K91+K92+K93)*100</f>
        <v>85</v>
      </c>
    </row>
    <row r="91" ht="13.5" customHeight="1" spans="1:19">
      <c r="A91" s="4" t="s">
        <v>37</v>
      </c>
      <c r="B91" s="3">
        <v>1016</v>
      </c>
      <c r="C91" s="3">
        <v>5657</v>
      </c>
      <c r="D91" s="3">
        <v>1</v>
      </c>
      <c r="E91" s="4" t="s">
        <v>33</v>
      </c>
      <c r="F91" s="4" t="s">
        <v>64</v>
      </c>
      <c r="G91" s="4" t="s">
        <v>65</v>
      </c>
      <c r="H91" s="4" t="s">
        <v>40</v>
      </c>
      <c r="I91" s="4" t="s">
        <v>26</v>
      </c>
      <c r="J91" s="3">
        <v>2</v>
      </c>
      <c r="K91" s="3">
        <v>25</v>
      </c>
      <c r="L91" s="3">
        <v>13</v>
      </c>
      <c r="M91" s="3">
        <v>4</v>
      </c>
      <c r="N91" s="3">
        <v>2</v>
      </c>
      <c r="O91" s="3">
        <v>6</v>
      </c>
      <c r="P91" s="3">
        <f t="shared" si="0"/>
        <v>0</v>
      </c>
      <c r="Q91" s="3">
        <f t="shared" si="1"/>
        <v>56.5217391304348</v>
      </c>
      <c r="R91" s="3">
        <f t="shared" si="2"/>
        <v>26.0869565217391</v>
      </c>
      <c r="S91" s="11"/>
    </row>
    <row r="92" ht="13.5" customHeight="1" spans="1:19">
      <c r="A92" s="4" t="s">
        <v>37</v>
      </c>
      <c r="B92" s="3">
        <v>1016</v>
      </c>
      <c r="C92" s="3">
        <v>5657</v>
      </c>
      <c r="D92" s="3">
        <v>1</v>
      </c>
      <c r="E92" s="4" t="s">
        <v>33</v>
      </c>
      <c r="F92" s="4" t="s">
        <v>64</v>
      </c>
      <c r="G92" s="4" t="s">
        <v>65</v>
      </c>
      <c r="H92" s="4" t="s">
        <v>40</v>
      </c>
      <c r="I92" s="4" t="s">
        <v>26</v>
      </c>
      <c r="J92" s="3">
        <v>3</v>
      </c>
      <c r="K92" s="3">
        <v>25</v>
      </c>
      <c r="L92" s="3">
        <v>18</v>
      </c>
      <c r="M92" s="3">
        <v>1</v>
      </c>
      <c r="N92" s="3">
        <v>1</v>
      </c>
      <c r="O92" s="3">
        <v>5</v>
      </c>
      <c r="P92" s="3">
        <f t="shared" si="0"/>
        <v>0</v>
      </c>
      <c r="Q92" s="3">
        <f t="shared" si="1"/>
        <v>75</v>
      </c>
      <c r="R92" s="3">
        <f t="shared" si="2"/>
        <v>20.8333333333333</v>
      </c>
      <c r="S92" s="11"/>
    </row>
    <row r="93" ht="13.5" customHeight="1" spans="1:19">
      <c r="A93" s="4" t="s">
        <v>37</v>
      </c>
      <c r="B93" s="3">
        <v>1016</v>
      </c>
      <c r="C93" s="3">
        <v>5657</v>
      </c>
      <c r="D93" s="3">
        <v>1</v>
      </c>
      <c r="E93" s="4" t="s">
        <v>33</v>
      </c>
      <c r="F93" s="4" t="s">
        <v>64</v>
      </c>
      <c r="G93" s="4" t="s">
        <v>65</v>
      </c>
      <c r="H93" s="4" t="s">
        <v>40</v>
      </c>
      <c r="I93" s="4" t="s">
        <v>26</v>
      </c>
      <c r="J93" s="3">
        <v>4</v>
      </c>
      <c r="K93" s="3">
        <v>25</v>
      </c>
      <c r="L93" s="3">
        <v>12</v>
      </c>
      <c r="M93" s="3">
        <v>3</v>
      </c>
      <c r="N93" s="3">
        <v>1</v>
      </c>
      <c r="O93" s="3">
        <v>9</v>
      </c>
      <c r="P93" s="3">
        <f t="shared" si="0"/>
        <v>0</v>
      </c>
      <c r="Q93" s="3">
        <f t="shared" si="1"/>
        <v>50</v>
      </c>
      <c r="R93" s="3">
        <f t="shared" si="2"/>
        <v>37.5</v>
      </c>
      <c r="S93" s="11"/>
    </row>
    <row r="94" ht="13.5" customHeight="1" spans="1:21">
      <c r="A94" s="4" t="s">
        <v>69</v>
      </c>
      <c r="B94" s="3">
        <v>1940</v>
      </c>
      <c r="C94" s="3">
        <v>11126</v>
      </c>
      <c r="D94" s="3">
        <v>3</v>
      </c>
      <c r="E94" s="4" t="s">
        <v>28</v>
      </c>
      <c r="F94" s="4" t="s">
        <v>70</v>
      </c>
      <c r="G94" s="3" t="s">
        <v>71</v>
      </c>
      <c r="H94" s="4" t="s">
        <v>40</v>
      </c>
      <c r="I94" s="4" t="s">
        <v>26</v>
      </c>
      <c r="J94" s="3">
        <v>1</v>
      </c>
      <c r="K94" s="3">
        <v>25</v>
      </c>
      <c r="L94" s="3">
        <v>15</v>
      </c>
      <c r="M94" s="3">
        <v>7</v>
      </c>
      <c r="N94" s="3">
        <v>3</v>
      </c>
      <c r="O94" s="3">
        <v>0</v>
      </c>
      <c r="P94" s="3">
        <f t="shared" si="0"/>
        <v>0</v>
      </c>
      <c r="Q94" s="3">
        <f t="shared" si="1"/>
        <v>68.1818181818182</v>
      </c>
      <c r="R94" s="3">
        <f t="shared" si="2"/>
        <v>0</v>
      </c>
      <c r="S94" s="11">
        <f>AVERAGE(Q94:Q97)</f>
        <v>67.8153820816864</v>
      </c>
      <c r="T94" s="7">
        <f>AVERAGE(R94:R97)</f>
        <v>0</v>
      </c>
      <c r="U94" s="8">
        <f>(L94+L95+L96+L97+O94+O95+O96+O97)/(K94+K95+K96+K97)*100</f>
        <v>54</v>
      </c>
    </row>
    <row r="95" ht="13.5" customHeight="1" spans="1:19">
      <c r="A95" s="4" t="s">
        <v>69</v>
      </c>
      <c r="B95" s="3">
        <v>1940</v>
      </c>
      <c r="C95" s="3">
        <v>11126</v>
      </c>
      <c r="D95" s="3">
        <v>3</v>
      </c>
      <c r="E95" s="4" t="s">
        <v>28</v>
      </c>
      <c r="F95" s="4" t="s">
        <v>70</v>
      </c>
      <c r="G95" s="3" t="s">
        <v>71</v>
      </c>
      <c r="H95" s="4" t="s">
        <v>40</v>
      </c>
      <c r="I95" s="4" t="s">
        <v>26</v>
      </c>
      <c r="J95" s="3">
        <v>2</v>
      </c>
      <c r="K95" s="3">
        <v>25</v>
      </c>
      <c r="L95" s="3">
        <v>17</v>
      </c>
      <c r="M95" s="3">
        <v>6</v>
      </c>
      <c r="N95" s="3">
        <v>2</v>
      </c>
      <c r="O95" s="3">
        <v>0</v>
      </c>
      <c r="P95" s="3">
        <f t="shared" si="0"/>
        <v>0</v>
      </c>
      <c r="Q95" s="3">
        <f t="shared" si="1"/>
        <v>73.9130434782609</v>
      </c>
      <c r="R95" s="3">
        <f t="shared" si="2"/>
        <v>0</v>
      </c>
      <c r="S95" s="11"/>
    </row>
    <row r="96" ht="13.5" customHeight="1" spans="1:19">
      <c r="A96" s="4" t="s">
        <v>69</v>
      </c>
      <c r="B96" s="3">
        <v>1940</v>
      </c>
      <c r="C96" s="3">
        <v>11126</v>
      </c>
      <c r="D96" s="3">
        <v>3</v>
      </c>
      <c r="E96" s="4" t="s">
        <v>28</v>
      </c>
      <c r="F96" s="4" t="s">
        <v>70</v>
      </c>
      <c r="G96" s="3" t="s">
        <v>71</v>
      </c>
      <c r="H96" s="4" t="s">
        <v>40</v>
      </c>
      <c r="I96" s="4" t="s">
        <v>26</v>
      </c>
      <c r="J96" s="3">
        <v>3</v>
      </c>
      <c r="K96" s="3">
        <v>25</v>
      </c>
      <c r="L96" s="3">
        <v>12</v>
      </c>
      <c r="M96" s="3">
        <v>6</v>
      </c>
      <c r="N96" s="3">
        <v>7</v>
      </c>
      <c r="O96" s="3">
        <v>0</v>
      </c>
      <c r="P96" s="3">
        <f t="shared" si="0"/>
        <v>0</v>
      </c>
      <c r="Q96" s="3">
        <f t="shared" si="1"/>
        <v>66.6666666666667</v>
      </c>
      <c r="R96" s="3">
        <f t="shared" si="2"/>
        <v>0</v>
      </c>
      <c r="S96" s="11"/>
    </row>
    <row r="97" ht="13.5" customHeight="1" spans="1:19">
      <c r="A97" s="4" t="s">
        <v>69</v>
      </c>
      <c r="B97" s="3">
        <v>1940</v>
      </c>
      <c r="C97" s="3">
        <v>11126</v>
      </c>
      <c r="D97" s="3">
        <v>3</v>
      </c>
      <c r="E97" s="4" t="s">
        <v>28</v>
      </c>
      <c r="F97" s="4" t="s">
        <v>70</v>
      </c>
      <c r="G97" s="3" t="s">
        <v>71</v>
      </c>
      <c r="H97" s="4" t="s">
        <v>40</v>
      </c>
      <c r="I97" s="4" t="s">
        <v>26</v>
      </c>
      <c r="J97" s="3">
        <v>4</v>
      </c>
      <c r="K97" s="3">
        <v>25</v>
      </c>
      <c r="L97" s="3">
        <v>10</v>
      </c>
      <c r="M97" s="3">
        <v>6</v>
      </c>
      <c r="N97" s="3">
        <v>9</v>
      </c>
      <c r="O97" s="3">
        <v>0</v>
      </c>
      <c r="P97" s="3">
        <f t="shared" si="0"/>
        <v>0</v>
      </c>
      <c r="Q97" s="3">
        <f t="shared" si="1"/>
        <v>62.5</v>
      </c>
      <c r="R97" s="3">
        <f t="shared" si="2"/>
        <v>0</v>
      </c>
      <c r="S97" s="11"/>
    </row>
    <row r="98" ht="13.5" customHeight="1" spans="1:21">
      <c r="A98" s="4" t="s">
        <v>36</v>
      </c>
      <c r="B98" s="3">
        <v>1294</v>
      </c>
      <c r="C98" s="3">
        <v>8842</v>
      </c>
      <c r="D98" s="3">
        <v>0.1</v>
      </c>
      <c r="E98" s="4" t="s">
        <v>28</v>
      </c>
      <c r="F98" s="4" t="s">
        <v>72</v>
      </c>
      <c r="G98" s="3" t="s">
        <v>73</v>
      </c>
      <c r="H98" s="4" t="s">
        <v>40</v>
      </c>
      <c r="I98" s="4" t="s">
        <v>26</v>
      </c>
      <c r="J98" s="3">
        <v>1</v>
      </c>
      <c r="K98" s="3">
        <v>25</v>
      </c>
      <c r="L98" s="3">
        <v>0</v>
      </c>
      <c r="M98" s="3">
        <v>6</v>
      </c>
      <c r="N98" s="3">
        <v>6</v>
      </c>
      <c r="O98" s="3">
        <v>13</v>
      </c>
      <c r="P98" s="3">
        <f t="shared" si="0"/>
        <v>0</v>
      </c>
      <c r="Q98" s="3">
        <f t="shared" si="1"/>
        <v>0</v>
      </c>
      <c r="R98" s="3">
        <f t="shared" si="2"/>
        <v>68.4210526315789</v>
      </c>
      <c r="S98" s="11">
        <f>AVERAGE(Q98:Q101)</f>
        <v>0</v>
      </c>
      <c r="T98" s="7">
        <f>AVERAGE(R98:R101)</f>
        <v>70.7037480063796</v>
      </c>
      <c r="U98" s="8">
        <f>(L98+L99+L100+L101+O98+O99+O100+O101)/(K98+K99+K100+K101)*100</f>
        <v>56</v>
      </c>
    </row>
    <row r="99" ht="13.5" customHeight="1" spans="1:19">
      <c r="A99" s="4" t="s">
        <v>36</v>
      </c>
      <c r="B99" s="3">
        <v>1294</v>
      </c>
      <c r="C99" s="3">
        <v>8842</v>
      </c>
      <c r="D99" s="3">
        <v>0.1</v>
      </c>
      <c r="E99" s="4" t="s">
        <v>28</v>
      </c>
      <c r="F99" s="4" t="s">
        <v>72</v>
      </c>
      <c r="G99" s="3" t="s">
        <v>73</v>
      </c>
      <c r="H99" s="4" t="s">
        <v>40</v>
      </c>
      <c r="I99" s="4" t="s">
        <v>26</v>
      </c>
      <c r="J99" s="3">
        <v>2</v>
      </c>
      <c r="K99" s="3">
        <v>25</v>
      </c>
      <c r="L99" s="3">
        <v>0</v>
      </c>
      <c r="M99" s="3">
        <v>6</v>
      </c>
      <c r="N99" s="3">
        <v>7</v>
      </c>
      <c r="O99" s="3">
        <v>12</v>
      </c>
      <c r="P99" s="3">
        <f t="shared" si="0"/>
        <v>0</v>
      </c>
      <c r="Q99" s="3">
        <f t="shared" si="1"/>
        <v>0</v>
      </c>
      <c r="R99" s="3">
        <f t="shared" si="2"/>
        <v>66.6666666666667</v>
      </c>
      <c r="S99" s="11"/>
    </row>
    <row r="100" ht="13.5" customHeight="1" spans="1:19">
      <c r="A100" s="4" t="s">
        <v>36</v>
      </c>
      <c r="B100" s="3">
        <v>1294</v>
      </c>
      <c r="C100" s="3">
        <v>8842</v>
      </c>
      <c r="D100" s="3">
        <v>0.1</v>
      </c>
      <c r="E100" s="4" t="s">
        <v>28</v>
      </c>
      <c r="F100" s="4" t="s">
        <v>72</v>
      </c>
      <c r="G100" s="3" t="s">
        <v>73</v>
      </c>
      <c r="H100" s="4" t="s">
        <v>40</v>
      </c>
      <c r="I100" s="4" t="s">
        <v>26</v>
      </c>
      <c r="J100" s="3">
        <v>3</v>
      </c>
      <c r="K100" s="3">
        <v>25</v>
      </c>
      <c r="L100" s="3">
        <v>0</v>
      </c>
      <c r="M100" s="3">
        <v>5</v>
      </c>
      <c r="N100" s="3">
        <v>5</v>
      </c>
      <c r="O100" s="3">
        <v>15</v>
      </c>
      <c r="P100" s="3">
        <f t="shared" si="0"/>
        <v>0</v>
      </c>
      <c r="Q100" s="3">
        <f t="shared" si="1"/>
        <v>0</v>
      </c>
      <c r="R100" s="3">
        <f t="shared" si="2"/>
        <v>75</v>
      </c>
      <c r="S100" s="11"/>
    </row>
    <row r="101" ht="13.5" customHeight="1" spans="1:19">
      <c r="A101" s="4" t="s">
        <v>36</v>
      </c>
      <c r="B101" s="3">
        <v>1294</v>
      </c>
      <c r="C101" s="3">
        <v>8842</v>
      </c>
      <c r="D101" s="3">
        <v>0.1</v>
      </c>
      <c r="E101" s="4" t="s">
        <v>28</v>
      </c>
      <c r="F101" s="4" t="s">
        <v>72</v>
      </c>
      <c r="G101" s="3" t="s">
        <v>73</v>
      </c>
      <c r="H101" s="4" t="s">
        <v>40</v>
      </c>
      <c r="I101" s="4" t="s">
        <v>26</v>
      </c>
      <c r="J101" s="3">
        <v>4</v>
      </c>
      <c r="K101" s="3">
        <v>25</v>
      </c>
      <c r="L101" s="3">
        <v>0</v>
      </c>
      <c r="M101" s="3">
        <v>6</v>
      </c>
      <c r="N101" s="3">
        <v>3</v>
      </c>
      <c r="O101" s="3">
        <v>16</v>
      </c>
      <c r="P101" s="3">
        <f t="shared" si="0"/>
        <v>0</v>
      </c>
      <c r="Q101" s="3">
        <f t="shared" si="1"/>
        <v>0</v>
      </c>
      <c r="R101" s="3">
        <f t="shared" si="2"/>
        <v>72.7272727272727</v>
      </c>
      <c r="S101" s="11"/>
    </row>
    <row r="102" ht="13.5" customHeight="1" spans="1:21">
      <c r="A102" s="4" t="s">
        <v>32</v>
      </c>
      <c r="B102" s="3">
        <v>1342</v>
      </c>
      <c r="C102" s="3">
        <v>9074</v>
      </c>
      <c r="D102" s="3">
        <v>0.1</v>
      </c>
      <c r="E102" s="4" t="s">
        <v>74</v>
      </c>
      <c r="F102" s="4" t="s">
        <v>75</v>
      </c>
      <c r="G102" s="4" t="s">
        <v>76</v>
      </c>
      <c r="H102" s="4" t="s">
        <v>40</v>
      </c>
      <c r="I102" s="4" t="s">
        <v>26</v>
      </c>
      <c r="J102" s="3">
        <v>1</v>
      </c>
      <c r="K102" s="3">
        <v>25</v>
      </c>
      <c r="L102" s="3">
        <v>4</v>
      </c>
      <c r="M102" s="3">
        <v>7</v>
      </c>
      <c r="N102" s="3">
        <v>12</v>
      </c>
      <c r="O102" s="3">
        <v>2</v>
      </c>
      <c r="P102" s="3">
        <f t="shared" si="0"/>
        <v>0</v>
      </c>
      <c r="Q102" s="3">
        <f t="shared" si="1"/>
        <v>30.7692307692308</v>
      </c>
      <c r="R102" s="3">
        <f t="shared" si="2"/>
        <v>15.3846153846154</v>
      </c>
      <c r="S102" s="11">
        <f>AVERAGE(Q102:Q105)</f>
        <v>32.6543522267206</v>
      </c>
      <c r="T102" s="7">
        <f>AVERAGE(R102:R105)</f>
        <v>32.7682186234818</v>
      </c>
      <c r="U102" s="8">
        <f>(L102+L103+L104+L105+O102+O103+O104+O105)/(K102+K103+K104+K105)*100</f>
        <v>42.1052631578947</v>
      </c>
    </row>
    <row r="103" ht="13.5" customHeight="1" spans="1:19">
      <c r="A103" s="4" t="s">
        <v>32</v>
      </c>
      <c r="B103" s="3">
        <v>1342</v>
      </c>
      <c r="C103" s="3">
        <v>9074</v>
      </c>
      <c r="D103" s="3">
        <v>0.1</v>
      </c>
      <c r="E103" s="4" t="s">
        <v>74</v>
      </c>
      <c r="F103" s="4" t="s">
        <v>75</v>
      </c>
      <c r="G103" s="4" t="s">
        <v>76</v>
      </c>
      <c r="H103" s="4" t="s">
        <v>40</v>
      </c>
      <c r="I103" s="4" t="s">
        <v>26</v>
      </c>
      <c r="J103" s="3">
        <v>2</v>
      </c>
      <c r="K103" s="3">
        <v>25</v>
      </c>
      <c r="L103" s="3">
        <v>4</v>
      </c>
      <c r="M103" s="3">
        <v>2</v>
      </c>
      <c r="N103" s="3">
        <v>12</v>
      </c>
      <c r="O103" s="3">
        <v>7</v>
      </c>
      <c r="P103" s="3">
        <f t="shared" si="0"/>
        <v>0</v>
      </c>
      <c r="Q103" s="3">
        <f t="shared" si="1"/>
        <v>30.7692307692308</v>
      </c>
      <c r="R103" s="3">
        <f t="shared" si="2"/>
        <v>53.8461538461538</v>
      </c>
      <c r="S103" s="11"/>
    </row>
    <row r="104" ht="13.5" customHeight="1" spans="1:19">
      <c r="A104" s="4" t="s">
        <v>32</v>
      </c>
      <c r="B104" s="3">
        <v>1342</v>
      </c>
      <c r="C104" s="3">
        <v>9074</v>
      </c>
      <c r="D104" s="3">
        <v>0.1</v>
      </c>
      <c r="E104" s="4" t="s">
        <v>74</v>
      </c>
      <c r="F104" s="4" t="s">
        <v>75</v>
      </c>
      <c r="G104" s="4" t="s">
        <v>76</v>
      </c>
      <c r="H104" s="4" t="s">
        <v>40</v>
      </c>
      <c r="I104" s="4" t="s">
        <v>26</v>
      </c>
      <c r="J104" s="3">
        <v>3</v>
      </c>
      <c r="K104" s="3">
        <v>20</v>
      </c>
      <c r="L104" s="3">
        <v>6</v>
      </c>
      <c r="M104" s="3">
        <v>6</v>
      </c>
      <c r="N104" s="3">
        <v>4</v>
      </c>
      <c r="O104" s="3">
        <v>4</v>
      </c>
      <c r="P104" s="3">
        <f t="shared" si="0"/>
        <v>0</v>
      </c>
      <c r="Q104" s="3">
        <f t="shared" si="1"/>
        <v>37.5</v>
      </c>
      <c r="R104" s="3">
        <f t="shared" si="2"/>
        <v>25</v>
      </c>
      <c r="S104" s="11"/>
    </row>
    <row r="105" ht="13.5" customHeight="1" spans="1:19">
      <c r="A105" s="4" t="s">
        <v>32</v>
      </c>
      <c r="B105" s="3">
        <v>1342</v>
      </c>
      <c r="C105" s="3">
        <v>9074</v>
      </c>
      <c r="D105" s="3">
        <v>0.1</v>
      </c>
      <c r="E105" s="4" t="s">
        <v>74</v>
      </c>
      <c r="F105" s="4" t="s">
        <v>75</v>
      </c>
      <c r="G105" s="4" t="s">
        <v>76</v>
      </c>
      <c r="H105" s="4" t="s">
        <v>40</v>
      </c>
      <c r="I105" s="4" t="s">
        <v>26</v>
      </c>
      <c r="J105" s="3">
        <v>4</v>
      </c>
      <c r="K105" s="3">
        <v>25</v>
      </c>
      <c r="L105" s="3">
        <v>6</v>
      </c>
      <c r="M105" s="3">
        <v>6</v>
      </c>
      <c r="N105" s="3">
        <v>6</v>
      </c>
      <c r="O105" s="3">
        <v>7</v>
      </c>
      <c r="P105" s="3">
        <f t="shared" si="0"/>
        <v>0</v>
      </c>
      <c r="Q105" s="3">
        <f t="shared" si="1"/>
        <v>31.5789473684211</v>
      </c>
      <c r="R105" s="3">
        <f t="shared" si="2"/>
        <v>36.8421052631579</v>
      </c>
      <c r="S105" s="11"/>
    </row>
    <row r="106" ht="13.5" customHeight="1" spans="1:21">
      <c r="A106" s="4" t="s">
        <v>77</v>
      </c>
      <c r="B106" s="3">
        <v>1746</v>
      </c>
      <c r="C106" s="3">
        <v>10331</v>
      </c>
      <c r="D106" s="3">
        <v>0.1</v>
      </c>
      <c r="E106" s="4" t="s">
        <v>28</v>
      </c>
      <c r="F106" s="4" t="s">
        <v>78</v>
      </c>
      <c r="G106" s="3" t="s">
        <v>79</v>
      </c>
      <c r="H106" s="4" t="s">
        <v>40</v>
      </c>
      <c r="I106" s="4" t="s">
        <v>26</v>
      </c>
      <c r="J106" s="3">
        <v>1</v>
      </c>
      <c r="K106" s="3">
        <v>26</v>
      </c>
      <c r="L106" s="3">
        <v>1</v>
      </c>
      <c r="M106" s="3">
        <v>12</v>
      </c>
      <c r="N106" s="3">
        <v>5</v>
      </c>
      <c r="O106" s="3">
        <v>8</v>
      </c>
      <c r="P106" s="3">
        <f t="shared" si="0"/>
        <v>0</v>
      </c>
      <c r="Q106" s="3">
        <f t="shared" si="1"/>
        <v>4.76190476190476</v>
      </c>
      <c r="R106" s="3">
        <f t="shared" si="2"/>
        <v>38.0952380952381</v>
      </c>
      <c r="S106" s="11">
        <f>AVERAGE(Q106:Q109)</f>
        <v>1.19047619047619</v>
      </c>
      <c r="T106" s="7">
        <f>AVERAGE(R106:R109)</f>
        <v>57.3722943722944</v>
      </c>
      <c r="U106" s="8">
        <f>(L106+L107+L108+L109+O106+O107+O108+O109)/(K106+K107+K108+K109)*100</f>
        <v>49.5049504950495</v>
      </c>
    </row>
    <row r="107" ht="13.5" customHeight="1" spans="1:19">
      <c r="A107" s="4" t="s">
        <v>77</v>
      </c>
      <c r="B107" s="3">
        <v>1746</v>
      </c>
      <c r="C107" s="3">
        <v>10331</v>
      </c>
      <c r="D107" s="3">
        <v>0.1</v>
      </c>
      <c r="E107" s="4" t="s">
        <v>28</v>
      </c>
      <c r="F107" s="4" t="s">
        <v>78</v>
      </c>
      <c r="G107" s="3" t="s">
        <v>79</v>
      </c>
      <c r="H107" s="4" t="s">
        <v>40</v>
      </c>
      <c r="I107" s="4" t="s">
        <v>26</v>
      </c>
      <c r="J107" s="3">
        <v>2</v>
      </c>
      <c r="K107" s="3">
        <v>25</v>
      </c>
      <c r="L107" s="3">
        <v>0</v>
      </c>
      <c r="M107" s="3">
        <v>6</v>
      </c>
      <c r="N107" s="3">
        <v>7</v>
      </c>
      <c r="O107" s="3">
        <v>12</v>
      </c>
      <c r="P107" s="3">
        <f t="shared" si="0"/>
        <v>0</v>
      </c>
      <c r="Q107" s="3">
        <f t="shared" si="1"/>
        <v>0</v>
      </c>
      <c r="R107" s="3">
        <f t="shared" si="2"/>
        <v>66.6666666666667</v>
      </c>
      <c r="S107" s="11"/>
    </row>
    <row r="108" ht="13.5" customHeight="1" spans="1:19">
      <c r="A108" s="4" t="s">
        <v>77</v>
      </c>
      <c r="B108" s="3">
        <v>1746</v>
      </c>
      <c r="C108" s="3">
        <v>10331</v>
      </c>
      <c r="D108" s="3">
        <v>0.1</v>
      </c>
      <c r="E108" s="4" t="s">
        <v>28</v>
      </c>
      <c r="F108" s="4" t="s">
        <v>78</v>
      </c>
      <c r="G108" s="3" t="s">
        <v>79</v>
      </c>
      <c r="H108" s="4" t="s">
        <v>40</v>
      </c>
      <c r="I108" s="4" t="s">
        <v>26</v>
      </c>
      <c r="J108" s="3">
        <v>3</v>
      </c>
      <c r="K108" s="3">
        <v>25</v>
      </c>
      <c r="L108" s="3">
        <v>0</v>
      </c>
      <c r="M108" s="3">
        <v>6</v>
      </c>
      <c r="N108" s="3">
        <v>3</v>
      </c>
      <c r="O108" s="3">
        <v>16</v>
      </c>
      <c r="P108" s="3">
        <f t="shared" si="0"/>
        <v>0</v>
      </c>
      <c r="Q108" s="3">
        <f t="shared" si="1"/>
        <v>0</v>
      </c>
      <c r="R108" s="3">
        <f t="shared" si="2"/>
        <v>72.7272727272727</v>
      </c>
      <c r="S108" s="11"/>
    </row>
    <row r="109" ht="13.5" customHeight="1" spans="1:19">
      <c r="A109" s="4" t="s">
        <v>77</v>
      </c>
      <c r="B109" s="3">
        <v>1746</v>
      </c>
      <c r="C109" s="3">
        <v>10331</v>
      </c>
      <c r="D109" s="3">
        <v>0.1</v>
      </c>
      <c r="E109" s="4" t="s">
        <v>28</v>
      </c>
      <c r="F109" s="4" t="s">
        <v>78</v>
      </c>
      <c r="G109" s="3" t="s">
        <v>79</v>
      </c>
      <c r="H109" s="4" t="s">
        <v>40</v>
      </c>
      <c r="I109" s="4" t="s">
        <v>26</v>
      </c>
      <c r="J109" s="3">
        <v>4</v>
      </c>
      <c r="K109" s="3">
        <v>25</v>
      </c>
      <c r="L109" s="3">
        <v>0</v>
      </c>
      <c r="M109" s="3">
        <v>12</v>
      </c>
      <c r="N109" s="3">
        <v>0</v>
      </c>
      <c r="O109" s="3">
        <v>13</v>
      </c>
      <c r="P109" s="3">
        <f t="shared" si="0"/>
        <v>0</v>
      </c>
      <c r="Q109" s="3">
        <f t="shared" si="1"/>
        <v>0</v>
      </c>
      <c r="R109" s="3">
        <f t="shared" si="2"/>
        <v>52</v>
      </c>
      <c r="S109" s="11"/>
    </row>
    <row r="110" ht="13.5" customHeight="1" spans="1:21">
      <c r="A110" s="4" t="s">
        <v>21</v>
      </c>
      <c r="B110" s="3">
        <v>1236</v>
      </c>
      <c r="C110" s="3">
        <v>8460</v>
      </c>
      <c r="D110" s="3">
        <v>1</v>
      </c>
      <c r="E110" s="4" t="s">
        <v>52</v>
      </c>
      <c r="F110" s="4" t="s">
        <v>80</v>
      </c>
      <c r="G110" s="4" t="s">
        <v>81</v>
      </c>
      <c r="H110" s="4" t="s">
        <v>40</v>
      </c>
      <c r="I110" s="4" t="s">
        <v>26</v>
      </c>
      <c r="J110" s="3">
        <v>1</v>
      </c>
      <c r="K110" s="3">
        <v>25</v>
      </c>
      <c r="L110" s="3">
        <v>19</v>
      </c>
      <c r="M110" s="3">
        <v>2</v>
      </c>
      <c r="N110" s="3">
        <v>0</v>
      </c>
      <c r="O110" s="3">
        <v>4</v>
      </c>
      <c r="P110" s="3">
        <f t="shared" si="0"/>
        <v>0</v>
      </c>
      <c r="Q110" s="3">
        <f t="shared" si="1"/>
        <v>76</v>
      </c>
      <c r="R110" s="3">
        <f t="shared" si="2"/>
        <v>16</v>
      </c>
      <c r="S110" s="11">
        <f>AVERAGE(Q110:Q113)</f>
        <v>66.2173913043478</v>
      </c>
      <c r="T110" s="7">
        <f>AVERAGE(R110:R113)</f>
        <v>27.6956521739131</v>
      </c>
      <c r="U110" s="8">
        <f>(L110+L111+L112+L113+O110+O111+O112+O113)/(K110+K111+K112+K113)*100</f>
        <v>92</v>
      </c>
    </row>
    <row r="111" ht="13.5" customHeight="1" spans="1:19">
      <c r="A111" s="4" t="s">
        <v>21</v>
      </c>
      <c r="B111" s="3">
        <v>1236</v>
      </c>
      <c r="C111" s="3">
        <v>8460</v>
      </c>
      <c r="D111" s="3">
        <v>1</v>
      </c>
      <c r="E111" s="4" t="s">
        <v>52</v>
      </c>
      <c r="F111" s="4" t="s">
        <v>80</v>
      </c>
      <c r="G111" s="4" t="s">
        <v>81</v>
      </c>
      <c r="H111" s="4" t="s">
        <v>40</v>
      </c>
      <c r="I111" s="4" t="s">
        <v>26</v>
      </c>
      <c r="J111" s="3">
        <v>2</v>
      </c>
      <c r="K111" s="3">
        <v>25</v>
      </c>
      <c r="L111" s="3">
        <v>13</v>
      </c>
      <c r="M111" s="3">
        <v>3</v>
      </c>
      <c r="N111" s="3">
        <v>0</v>
      </c>
      <c r="O111" s="3">
        <v>9</v>
      </c>
      <c r="P111" s="3">
        <f t="shared" si="0"/>
        <v>0</v>
      </c>
      <c r="Q111" s="3">
        <f t="shared" si="1"/>
        <v>52</v>
      </c>
      <c r="R111" s="3">
        <f t="shared" si="2"/>
        <v>36</v>
      </c>
      <c r="S111" s="11"/>
    </row>
    <row r="112" ht="13.5" customHeight="1" spans="1:19">
      <c r="A112" s="4" t="s">
        <v>21</v>
      </c>
      <c r="B112" s="3">
        <v>1236</v>
      </c>
      <c r="C112" s="3">
        <v>8460</v>
      </c>
      <c r="D112" s="3">
        <v>1</v>
      </c>
      <c r="E112" s="4" t="s">
        <v>52</v>
      </c>
      <c r="F112" s="4" t="s">
        <v>80</v>
      </c>
      <c r="G112" s="4" t="s">
        <v>81</v>
      </c>
      <c r="H112" s="4" t="s">
        <v>40</v>
      </c>
      <c r="I112" s="4" t="s">
        <v>26</v>
      </c>
      <c r="J112" s="3">
        <v>3</v>
      </c>
      <c r="K112" s="3">
        <v>25</v>
      </c>
      <c r="L112" s="3">
        <v>19</v>
      </c>
      <c r="M112" s="3">
        <v>0</v>
      </c>
      <c r="N112" s="3">
        <v>0</v>
      </c>
      <c r="O112" s="3">
        <v>6</v>
      </c>
      <c r="P112" s="3">
        <f t="shared" si="0"/>
        <v>0</v>
      </c>
      <c r="Q112" s="3">
        <f t="shared" si="1"/>
        <v>76</v>
      </c>
      <c r="R112" s="3">
        <f t="shared" si="2"/>
        <v>24</v>
      </c>
      <c r="S112" s="11"/>
    </row>
    <row r="113" ht="13.5" customHeight="1" spans="1:19">
      <c r="A113" s="4" t="s">
        <v>21</v>
      </c>
      <c r="B113" s="3">
        <v>1236</v>
      </c>
      <c r="C113" s="3">
        <v>8460</v>
      </c>
      <c r="D113" s="3">
        <v>1</v>
      </c>
      <c r="E113" s="4" t="s">
        <v>52</v>
      </c>
      <c r="F113" s="4" t="s">
        <v>80</v>
      </c>
      <c r="G113" s="4" t="s">
        <v>81</v>
      </c>
      <c r="H113" s="4" t="s">
        <v>40</v>
      </c>
      <c r="I113" s="4" t="s">
        <v>26</v>
      </c>
      <c r="J113" s="3">
        <v>4</v>
      </c>
      <c r="K113" s="3">
        <v>25</v>
      </c>
      <c r="L113" s="3">
        <v>14</v>
      </c>
      <c r="M113" s="3">
        <v>1</v>
      </c>
      <c r="N113" s="3">
        <v>2</v>
      </c>
      <c r="O113" s="3">
        <v>8</v>
      </c>
      <c r="P113" s="3">
        <f t="shared" si="0"/>
        <v>0</v>
      </c>
      <c r="Q113" s="3">
        <f t="shared" si="1"/>
        <v>60.8695652173913</v>
      </c>
      <c r="R113" s="3">
        <f t="shared" si="2"/>
        <v>34.7826086956522</v>
      </c>
      <c r="S113" s="11"/>
    </row>
    <row r="114" ht="13.5" customHeight="1" spans="1:21">
      <c r="A114" s="4" t="s">
        <v>57</v>
      </c>
      <c r="B114" s="3">
        <v>1847</v>
      </c>
      <c r="C114" s="3">
        <v>10763</v>
      </c>
      <c r="D114" s="3">
        <v>0.1</v>
      </c>
      <c r="E114" s="4" t="s">
        <v>52</v>
      </c>
      <c r="F114" s="4" t="s">
        <v>82</v>
      </c>
      <c r="G114" s="3" t="s">
        <v>83</v>
      </c>
      <c r="H114" s="4" t="s">
        <v>25</v>
      </c>
      <c r="I114" s="4" t="s">
        <v>26</v>
      </c>
      <c r="J114" s="3">
        <v>1</v>
      </c>
      <c r="K114" s="3">
        <v>25</v>
      </c>
      <c r="L114" s="3">
        <v>8</v>
      </c>
      <c r="M114" s="3">
        <v>4</v>
      </c>
      <c r="N114" s="3">
        <v>5</v>
      </c>
      <c r="O114" s="3">
        <v>8</v>
      </c>
      <c r="P114" s="3">
        <f t="shared" si="0"/>
        <v>0</v>
      </c>
      <c r="Q114" s="3">
        <f t="shared" si="1"/>
        <v>40</v>
      </c>
      <c r="R114" s="3">
        <f t="shared" si="2"/>
        <v>40</v>
      </c>
      <c r="S114" s="11">
        <f>AVERAGE(Q114:Q117)</f>
        <v>59.6550324675325</v>
      </c>
      <c r="T114" s="7">
        <f>AVERAGE(R114:R117)</f>
        <v>27.0657467532468</v>
      </c>
      <c r="U114" s="8">
        <f>(L114+L115+L116+L117+O114+O115+O116+O117)/(K114+K115+K116+K117)*100</f>
        <v>68</v>
      </c>
    </row>
    <row r="115" ht="13.5" customHeight="1" spans="1:19">
      <c r="A115" s="4" t="s">
        <v>57</v>
      </c>
      <c r="B115" s="3">
        <v>1847</v>
      </c>
      <c r="C115" s="3">
        <v>10763</v>
      </c>
      <c r="D115" s="3">
        <v>0.1</v>
      </c>
      <c r="E115" s="4" t="s">
        <v>52</v>
      </c>
      <c r="F115" s="4" t="s">
        <v>82</v>
      </c>
      <c r="G115" s="3" t="s">
        <v>83</v>
      </c>
      <c r="H115" s="4" t="s">
        <v>25</v>
      </c>
      <c r="I115" s="4" t="s">
        <v>26</v>
      </c>
      <c r="J115" s="3">
        <v>2</v>
      </c>
      <c r="K115" s="3">
        <v>25</v>
      </c>
      <c r="L115" s="3">
        <v>11</v>
      </c>
      <c r="M115" s="3">
        <v>0</v>
      </c>
      <c r="N115" s="3">
        <v>9</v>
      </c>
      <c r="O115" s="3">
        <v>5</v>
      </c>
      <c r="P115" s="3">
        <f t="shared" si="0"/>
        <v>0</v>
      </c>
      <c r="Q115" s="3">
        <f t="shared" si="1"/>
        <v>68.75</v>
      </c>
      <c r="R115" s="3">
        <f t="shared" si="2"/>
        <v>31.25</v>
      </c>
      <c r="S115" s="11"/>
    </row>
    <row r="116" ht="13.5" customHeight="1" spans="1:19">
      <c r="A116" s="4" t="s">
        <v>57</v>
      </c>
      <c r="B116" s="3">
        <v>1847</v>
      </c>
      <c r="C116" s="3">
        <v>10763</v>
      </c>
      <c r="D116" s="3">
        <v>0.1</v>
      </c>
      <c r="E116" s="4" t="s">
        <v>52</v>
      </c>
      <c r="F116" s="4" t="s">
        <v>82</v>
      </c>
      <c r="G116" s="3" t="s">
        <v>83</v>
      </c>
      <c r="H116" s="4" t="s">
        <v>25</v>
      </c>
      <c r="I116" s="4" t="s">
        <v>26</v>
      </c>
      <c r="J116" s="3">
        <v>3</v>
      </c>
      <c r="K116" s="3">
        <v>25</v>
      </c>
      <c r="L116" s="3">
        <v>12</v>
      </c>
      <c r="M116" s="3">
        <v>6</v>
      </c>
      <c r="N116" s="3">
        <v>4</v>
      </c>
      <c r="O116" s="3">
        <v>3</v>
      </c>
      <c r="P116" s="3">
        <f t="shared" si="0"/>
        <v>0</v>
      </c>
      <c r="Q116" s="3">
        <f t="shared" si="1"/>
        <v>57.1428571428571</v>
      </c>
      <c r="R116" s="3">
        <f t="shared" si="2"/>
        <v>14.2857142857143</v>
      </c>
      <c r="S116" s="11"/>
    </row>
    <row r="117" ht="13.5" customHeight="1" spans="1:19">
      <c r="A117" s="4" t="s">
        <v>57</v>
      </c>
      <c r="B117" s="3">
        <v>1847</v>
      </c>
      <c r="C117" s="3">
        <v>10763</v>
      </c>
      <c r="D117" s="3">
        <v>0.1</v>
      </c>
      <c r="E117" s="4" t="s">
        <v>52</v>
      </c>
      <c r="F117" s="4" t="s">
        <v>82</v>
      </c>
      <c r="G117" s="3" t="s">
        <v>83</v>
      </c>
      <c r="H117" s="4" t="s">
        <v>25</v>
      </c>
      <c r="I117" s="4" t="s">
        <v>26</v>
      </c>
      <c r="J117" s="3">
        <v>4</v>
      </c>
      <c r="K117" s="3">
        <v>25</v>
      </c>
      <c r="L117" s="3">
        <v>16</v>
      </c>
      <c r="M117" s="3">
        <v>1</v>
      </c>
      <c r="N117" s="3">
        <v>3</v>
      </c>
      <c r="O117" s="3">
        <v>5</v>
      </c>
      <c r="P117" s="3">
        <f t="shared" si="0"/>
        <v>0</v>
      </c>
      <c r="Q117" s="3">
        <f t="shared" si="1"/>
        <v>72.7272727272727</v>
      </c>
      <c r="R117" s="3">
        <f t="shared" si="2"/>
        <v>22.7272727272727</v>
      </c>
      <c r="S117" s="11"/>
    </row>
    <row r="118" ht="13.5" customHeight="1" spans="1:21">
      <c r="A118" s="4" t="s">
        <v>84</v>
      </c>
      <c r="B118" s="3">
        <v>1177</v>
      </c>
      <c r="C118" s="3">
        <v>8175</v>
      </c>
      <c r="D118" s="3">
        <v>0.1</v>
      </c>
      <c r="E118" s="4" t="s">
        <v>52</v>
      </c>
      <c r="F118" s="4" t="s">
        <v>80</v>
      </c>
      <c r="G118" s="4" t="s">
        <v>81</v>
      </c>
      <c r="H118" s="4" t="s">
        <v>40</v>
      </c>
      <c r="I118" s="4" t="s">
        <v>26</v>
      </c>
      <c r="J118" s="3">
        <v>1</v>
      </c>
      <c r="K118" s="3">
        <v>25</v>
      </c>
      <c r="L118" s="3">
        <v>18</v>
      </c>
      <c r="M118" s="3">
        <v>0</v>
      </c>
      <c r="N118" s="3">
        <v>0</v>
      </c>
      <c r="O118" s="3">
        <v>7</v>
      </c>
      <c r="P118" s="3">
        <f t="shared" si="0"/>
        <v>0</v>
      </c>
      <c r="Q118" s="3">
        <f t="shared" si="1"/>
        <v>72</v>
      </c>
      <c r="R118" s="3">
        <f t="shared" si="2"/>
        <v>28</v>
      </c>
      <c r="S118" s="11">
        <f>AVERAGE(Q118:Q121)</f>
        <v>57</v>
      </c>
      <c r="T118" s="7">
        <f>AVERAGE(R118:R121)</f>
        <v>39</v>
      </c>
      <c r="U118" s="8">
        <f>(L118+L119+L120+L121+O118+O119+O120+O121)/(K118+K119+K120+K121)*100</f>
        <v>96</v>
      </c>
    </row>
    <row r="119" ht="13.5" customHeight="1" spans="1:19">
      <c r="A119" s="4" t="s">
        <v>84</v>
      </c>
      <c r="B119" s="3">
        <v>1177</v>
      </c>
      <c r="C119" s="3">
        <v>8175</v>
      </c>
      <c r="D119" s="3">
        <v>0.1</v>
      </c>
      <c r="E119" s="4" t="s">
        <v>52</v>
      </c>
      <c r="F119" s="4" t="s">
        <v>80</v>
      </c>
      <c r="G119" s="4" t="s">
        <v>81</v>
      </c>
      <c r="H119" s="4" t="s">
        <v>40</v>
      </c>
      <c r="I119" s="4" t="s">
        <v>26</v>
      </c>
      <c r="J119" s="3">
        <v>2</v>
      </c>
      <c r="K119" s="3">
        <v>25</v>
      </c>
      <c r="L119" s="3">
        <v>12</v>
      </c>
      <c r="M119" s="3">
        <v>0</v>
      </c>
      <c r="N119" s="3">
        <v>0</v>
      </c>
      <c r="O119" s="3">
        <v>13</v>
      </c>
      <c r="P119" s="3">
        <f t="shared" si="0"/>
        <v>0</v>
      </c>
      <c r="Q119" s="3">
        <f t="shared" si="1"/>
        <v>48</v>
      </c>
      <c r="R119" s="3">
        <f t="shared" si="2"/>
        <v>52</v>
      </c>
      <c r="S119" s="11"/>
    </row>
    <row r="120" ht="13.5" customHeight="1" spans="1:19">
      <c r="A120" s="4" t="s">
        <v>84</v>
      </c>
      <c r="B120" s="3">
        <v>1177</v>
      </c>
      <c r="C120" s="3">
        <v>8175</v>
      </c>
      <c r="D120" s="3">
        <v>0.1</v>
      </c>
      <c r="E120" s="4" t="s">
        <v>52</v>
      </c>
      <c r="F120" s="4" t="s">
        <v>80</v>
      </c>
      <c r="G120" s="4" t="s">
        <v>81</v>
      </c>
      <c r="H120" s="4" t="s">
        <v>40</v>
      </c>
      <c r="I120" s="4" t="s">
        <v>26</v>
      </c>
      <c r="J120" s="3">
        <v>3</v>
      </c>
      <c r="K120" s="3">
        <v>25</v>
      </c>
      <c r="L120" s="3">
        <v>15</v>
      </c>
      <c r="M120" s="3">
        <v>2</v>
      </c>
      <c r="N120" s="3">
        <v>0</v>
      </c>
      <c r="O120" s="3">
        <v>8</v>
      </c>
      <c r="P120" s="3">
        <f t="shared" si="0"/>
        <v>0</v>
      </c>
      <c r="Q120" s="3">
        <f t="shared" si="1"/>
        <v>60</v>
      </c>
      <c r="R120" s="3">
        <f t="shared" si="2"/>
        <v>32</v>
      </c>
      <c r="S120" s="11"/>
    </row>
    <row r="121" ht="13.5" customHeight="1" spans="1:19">
      <c r="A121" s="4" t="s">
        <v>84</v>
      </c>
      <c r="B121" s="3">
        <v>1177</v>
      </c>
      <c r="C121" s="3">
        <v>8175</v>
      </c>
      <c r="D121" s="3">
        <v>0.1</v>
      </c>
      <c r="E121" s="4" t="s">
        <v>52</v>
      </c>
      <c r="F121" s="4" t="s">
        <v>80</v>
      </c>
      <c r="G121" s="4" t="s">
        <v>81</v>
      </c>
      <c r="H121" s="4" t="s">
        <v>40</v>
      </c>
      <c r="I121" s="4" t="s">
        <v>26</v>
      </c>
      <c r="J121" s="3">
        <v>4</v>
      </c>
      <c r="K121" s="3">
        <v>25</v>
      </c>
      <c r="L121" s="3">
        <v>12</v>
      </c>
      <c r="M121" s="3">
        <v>2</v>
      </c>
      <c r="N121" s="3">
        <v>0</v>
      </c>
      <c r="O121" s="3">
        <v>11</v>
      </c>
      <c r="P121" s="3">
        <f t="shared" si="0"/>
        <v>0</v>
      </c>
      <c r="Q121" s="3">
        <f t="shared" si="1"/>
        <v>48</v>
      </c>
      <c r="R121" s="3">
        <f t="shared" si="2"/>
        <v>44</v>
      </c>
      <c r="S121" s="11"/>
    </row>
    <row r="122" ht="13.5" customHeight="1" spans="1:21">
      <c r="A122" s="4" t="s">
        <v>32</v>
      </c>
      <c r="B122" s="3">
        <v>1342</v>
      </c>
      <c r="C122" s="3">
        <v>9074</v>
      </c>
      <c r="D122" s="3">
        <v>2</v>
      </c>
      <c r="E122" s="4" t="s">
        <v>33</v>
      </c>
      <c r="F122" s="4" t="s">
        <v>67</v>
      </c>
      <c r="G122" s="4" t="s">
        <v>68</v>
      </c>
      <c r="H122" s="4" t="s">
        <v>40</v>
      </c>
      <c r="I122" s="4" t="s">
        <v>26</v>
      </c>
      <c r="J122" s="3">
        <v>1</v>
      </c>
      <c r="K122" s="3">
        <v>25</v>
      </c>
      <c r="L122" s="3">
        <v>21</v>
      </c>
      <c r="M122" s="3">
        <v>0</v>
      </c>
      <c r="N122" s="3">
        <v>2</v>
      </c>
      <c r="O122" s="3">
        <v>2</v>
      </c>
      <c r="P122" s="3">
        <f t="shared" si="0"/>
        <v>0</v>
      </c>
      <c r="Q122" s="3">
        <f t="shared" si="1"/>
        <v>91.304347826087</v>
      </c>
      <c r="R122" s="3">
        <f t="shared" si="2"/>
        <v>8.69565217391304</v>
      </c>
      <c r="S122" s="11">
        <f>AVERAGE(Q122:Q125)</f>
        <v>84.0544419348767</v>
      </c>
      <c r="T122" s="7">
        <f>AVERAGE(R122:R125)</f>
        <v>15.9455580651233</v>
      </c>
      <c r="U122" s="8">
        <f>(L122+L123+L124+L125+O122+O123+O124+O125)/(K122+K123+K124+K125)*100</f>
        <v>90</v>
      </c>
    </row>
    <row r="123" ht="13.5" customHeight="1" spans="1:19">
      <c r="A123" s="4" t="s">
        <v>32</v>
      </c>
      <c r="B123" s="3">
        <v>1342</v>
      </c>
      <c r="C123" s="3">
        <v>9074</v>
      </c>
      <c r="D123" s="3">
        <v>2</v>
      </c>
      <c r="E123" s="4" t="s">
        <v>33</v>
      </c>
      <c r="F123" s="4" t="s">
        <v>67</v>
      </c>
      <c r="G123" s="4" t="s">
        <v>68</v>
      </c>
      <c r="H123" s="4" t="s">
        <v>40</v>
      </c>
      <c r="I123" s="4" t="s">
        <v>26</v>
      </c>
      <c r="J123" s="3">
        <v>2</v>
      </c>
      <c r="K123" s="3">
        <v>25</v>
      </c>
      <c r="L123" s="3">
        <v>22</v>
      </c>
      <c r="M123" s="3">
        <v>0</v>
      </c>
      <c r="N123" s="3">
        <v>1</v>
      </c>
      <c r="O123" s="3">
        <v>2</v>
      </c>
      <c r="P123" s="3">
        <f t="shared" si="0"/>
        <v>0</v>
      </c>
      <c r="Q123" s="3">
        <f t="shared" si="1"/>
        <v>91.6666666666667</v>
      </c>
      <c r="R123" s="3">
        <f t="shared" si="2"/>
        <v>8.33333333333333</v>
      </c>
      <c r="S123" s="11"/>
    </row>
    <row r="124" ht="13.5" customHeight="1" spans="1:19">
      <c r="A124" s="4" t="s">
        <v>32</v>
      </c>
      <c r="B124" s="3">
        <v>1342</v>
      </c>
      <c r="C124" s="3">
        <v>9074</v>
      </c>
      <c r="D124" s="3">
        <v>2</v>
      </c>
      <c r="E124" s="4" t="s">
        <v>33</v>
      </c>
      <c r="F124" s="4" t="s">
        <v>67</v>
      </c>
      <c r="G124" s="4" t="s">
        <v>68</v>
      </c>
      <c r="H124" s="4" t="s">
        <v>40</v>
      </c>
      <c r="I124" s="4" t="s">
        <v>26</v>
      </c>
      <c r="J124" s="3">
        <v>3</v>
      </c>
      <c r="K124" s="3">
        <v>25</v>
      </c>
      <c r="L124" s="3">
        <v>18</v>
      </c>
      <c r="M124" s="3">
        <v>0</v>
      </c>
      <c r="N124" s="3">
        <v>3</v>
      </c>
      <c r="O124" s="3">
        <v>4</v>
      </c>
      <c r="P124" s="3">
        <f t="shared" si="0"/>
        <v>0</v>
      </c>
      <c r="Q124" s="3">
        <f t="shared" si="1"/>
        <v>81.8181818181818</v>
      </c>
      <c r="R124" s="3">
        <f t="shared" si="2"/>
        <v>18.1818181818182</v>
      </c>
      <c r="S124" s="11"/>
    </row>
    <row r="125" ht="13.5" customHeight="1" spans="1:19">
      <c r="A125" s="4" t="s">
        <v>32</v>
      </c>
      <c r="B125" s="3">
        <v>1342</v>
      </c>
      <c r="C125" s="3">
        <v>9074</v>
      </c>
      <c r="D125" s="3">
        <v>2</v>
      </c>
      <c r="E125" s="4" t="s">
        <v>33</v>
      </c>
      <c r="F125" s="4" t="s">
        <v>67</v>
      </c>
      <c r="G125" s="4" t="s">
        <v>68</v>
      </c>
      <c r="H125" s="4" t="s">
        <v>40</v>
      </c>
      <c r="I125" s="4" t="s">
        <v>26</v>
      </c>
      <c r="J125" s="3">
        <v>4</v>
      </c>
      <c r="K125" s="3">
        <v>25</v>
      </c>
      <c r="L125" s="3">
        <v>15</v>
      </c>
      <c r="M125" s="3">
        <v>0</v>
      </c>
      <c r="N125" s="3">
        <v>4</v>
      </c>
      <c r="O125" s="3">
        <v>6</v>
      </c>
      <c r="P125" s="3">
        <f t="shared" si="0"/>
        <v>0</v>
      </c>
      <c r="Q125" s="3">
        <f t="shared" si="1"/>
        <v>71.4285714285714</v>
      </c>
      <c r="R125" s="3">
        <f t="shared" si="2"/>
        <v>28.5714285714286</v>
      </c>
      <c r="S125" s="11"/>
    </row>
    <row r="126" ht="13.5" customHeight="1" spans="1:21">
      <c r="A126" s="4" t="s">
        <v>85</v>
      </c>
      <c r="B126" s="3">
        <v>1167</v>
      </c>
      <c r="C126" s="3">
        <v>7918</v>
      </c>
      <c r="D126" s="3">
        <v>0.1</v>
      </c>
      <c r="E126" s="4" t="s">
        <v>52</v>
      </c>
      <c r="F126" s="4" t="s">
        <v>80</v>
      </c>
      <c r="G126" s="4" t="s">
        <v>59</v>
      </c>
      <c r="H126" s="4" t="s">
        <v>25</v>
      </c>
      <c r="I126" s="4" t="s">
        <v>26</v>
      </c>
      <c r="J126" s="3">
        <v>1</v>
      </c>
      <c r="K126" s="3">
        <v>25</v>
      </c>
      <c r="L126" s="3">
        <v>19</v>
      </c>
      <c r="M126" s="3">
        <v>0</v>
      </c>
      <c r="N126" s="3">
        <v>0</v>
      </c>
      <c r="O126" s="3">
        <v>6</v>
      </c>
      <c r="P126" s="3">
        <f t="shared" si="0"/>
        <v>0</v>
      </c>
      <c r="Q126" s="3">
        <f t="shared" si="1"/>
        <v>76</v>
      </c>
      <c r="R126" s="3">
        <f t="shared" si="2"/>
        <v>24</v>
      </c>
      <c r="S126" s="11">
        <f>AVERAGE(Q126:Q129)</f>
        <v>73</v>
      </c>
      <c r="T126" s="7">
        <f>AVERAGE(R126:R129)</f>
        <v>26</v>
      </c>
      <c r="U126" s="8">
        <f>(L126+L127+L128+L129+O126+O127+O128+O129)/(K126+K127+K128+K129)*100</f>
        <v>99</v>
      </c>
    </row>
    <row r="127" ht="13.5" customHeight="1" spans="1:19">
      <c r="A127" s="4" t="s">
        <v>85</v>
      </c>
      <c r="B127" s="3">
        <v>1167</v>
      </c>
      <c r="C127" s="3">
        <v>7918</v>
      </c>
      <c r="D127" s="3">
        <v>0.1</v>
      </c>
      <c r="E127" s="4" t="s">
        <v>52</v>
      </c>
      <c r="F127" s="4" t="s">
        <v>80</v>
      </c>
      <c r="G127" s="4" t="s">
        <v>59</v>
      </c>
      <c r="H127" s="4" t="s">
        <v>25</v>
      </c>
      <c r="I127" s="4" t="s">
        <v>26</v>
      </c>
      <c r="J127" s="3">
        <v>2</v>
      </c>
      <c r="K127" s="3">
        <v>25</v>
      </c>
      <c r="L127" s="3">
        <v>19</v>
      </c>
      <c r="M127" s="3">
        <v>0</v>
      </c>
      <c r="N127" s="3">
        <v>0</v>
      </c>
      <c r="O127" s="3">
        <v>6</v>
      </c>
      <c r="P127" s="3">
        <f t="shared" si="0"/>
        <v>0</v>
      </c>
      <c r="Q127" s="3">
        <f t="shared" si="1"/>
        <v>76</v>
      </c>
      <c r="R127" s="3">
        <f t="shared" si="2"/>
        <v>24</v>
      </c>
      <c r="S127" s="11"/>
    </row>
    <row r="128" ht="13.5" customHeight="1" spans="1:19">
      <c r="A128" s="4" t="s">
        <v>85</v>
      </c>
      <c r="B128" s="3">
        <v>1167</v>
      </c>
      <c r="C128" s="3">
        <v>7918</v>
      </c>
      <c r="D128" s="3">
        <v>0.1</v>
      </c>
      <c r="E128" s="4" t="s">
        <v>52</v>
      </c>
      <c r="F128" s="4" t="s">
        <v>80</v>
      </c>
      <c r="G128" s="4" t="s">
        <v>59</v>
      </c>
      <c r="H128" s="4" t="s">
        <v>25</v>
      </c>
      <c r="I128" s="4" t="s">
        <v>26</v>
      </c>
      <c r="J128" s="3">
        <v>3</v>
      </c>
      <c r="K128" s="3">
        <v>25</v>
      </c>
      <c r="L128" s="3">
        <v>18</v>
      </c>
      <c r="M128" s="3">
        <v>0</v>
      </c>
      <c r="N128" s="3">
        <v>0</v>
      </c>
      <c r="O128" s="3">
        <v>7</v>
      </c>
      <c r="P128" s="3">
        <f t="shared" si="0"/>
        <v>0</v>
      </c>
      <c r="Q128" s="3">
        <f t="shared" si="1"/>
        <v>72</v>
      </c>
      <c r="R128" s="3">
        <f t="shared" si="2"/>
        <v>28</v>
      </c>
      <c r="S128" s="11"/>
    </row>
    <row r="129" ht="13.5" customHeight="1" spans="1:19">
      <c r="A129" s="4" t="s">
        <v>85</v>
      </c>
      <c r="B129" s="3">
        <v>1167</v>
      </c>
      <c r="C129" s="3">
        <v>7918</v>
      </c>
      <c r="D129" s="3">
        <v>0.1</v>
      </c>
      <c r="E129" s="4" t="s">
        <v>52</v>
      </c>
      <c r="F129" s="4" t="s">
        <v>80</v>
      </c>
      <c r="G129" s="4" t="s">
        <v>59</v>
      </c>
      <c r="H129" s="4" t="s">
        <v>25</v>
      </c>
      <c r="I129" s="4" t="s">
        <v>26</v>
      </c>
      <c r="J129" s="3">
        <v>4</v>
      </c>
      <c r="K129" s="3">
        <v>25</v>
      </c>
      <c r="L129" s="3">
        <v>17</v>
      </c>
      <c r="M129" s="3">
        <v>1</v>
      </c>
      <c r="N129" s="3">
        <v>0</v>
      </c>
      <c r="O129" s="3">
        <v>7</v>
      </c>
      <c r="P129" s="3">
        <f t="shared" si="0"/>
        <v>0</v>
      </c>
      <c r="Q129" s="3">
        <f t="shared" si="1"/>
        <v>68</v>
      </c>
      <c r="R129" s="3">
        <f t="shared" si="2"/>
        <v>28</v>
      </c>
      <c r="S129" s="11"/>
    </row>
    <row r="130" ht="13.5" customHeight="1" spans="1:21">
      <c r="A130" s="4" t="s">
        <v>86</v>
      </c>
      <c r="B130" s="3">
        <v>1097</v>
      </c>
      <c r="C130" s="3">
        <v>6679</v>
      </c>
      <c r="D130" s="3">
        <v>3</v>
      </c>
      <c r="E130" s="4" t="s">
        <v>38</v>
      </c>
      <c r="F130" s="4" t="s">
        <v>87</v>
      </c>
      <c r="G130" s="4" t="s">
        <v>87</v>
      </c>
      <c r="H130" s="4" t="s">
        <v>40</v>
      </c>
      <c r="I130" s="4" t="s">
        <v>26</v>
      </c>
      <c r="J130" s="3">
        <v>1</v>
      </c>
      <c r="K130" s="3">
        <v>25</v>
      </c>
      <c r="L130" s="3">
        <v>22</v>
      </c>
      <c r="M130" s="3">
        <v>1</v>
      </c>
      <c r="N130" s="3">
        <v>0</v>
      </c>
      <c r="O130" s="3">
        <v>2</v>
      </c>
      <c r="P130" s="3">
        <f t="shared" si="0"/>
        <v>0</v>
      </c>
      <c r="Q130" s="3">
        <f t="shared" si="1"/>
        <v>88</v>
      </c>
      <c r="R130" s="3">
        <f t="shared" si="2"/>
        <v>8</v>
      </c>
      <c r="S130" s="11">
        <f>AVERAGE(Q130:Q133)</f>
        <v>84</v>
      </c>
      <c r="T130" s="7">
        <f>AVERAGE(R130:R133)</f>
        <v>11</v>
      </c>
      <c r="U130" s="8">
        <f>(L130+L131+L132+L133+O130+O131+O132+O133)/(K130+K131+K132+K133)*100</f>
        <v>95</v>
      </c>
    </row>
    <row r="131" ht="13.5" customHeight="1" spans="1:19">
      <c r="A131" s="4" t="s">
        <v>86</v>
      </c>
      <c r="B131" s="3">
        <v>1097</v>
      </c>
      <c r="C131" s="3">
        <v>6679</v>
      </c>
      <c r="D131" s="3">
        <v>3</v>
      </c>
      <c r="E131" s="4" t="s">
        <v>38</v>
      </c>
      <c r="F131" s="4" t="s">
        <v>87</v>
      </c>
      <c r="G131" s="4" t="s">
        <v>87</v>
      </c>
      <c r="H131" s="4" t="s">
        <v>40</v>
      </c>
      <c r="I131" s="4" t="s">
        <v>26</v>
      </c>
      <c r="J131" s="3">
        <v>2</v>
      </c>
      <c r="K131" s="3">
        <v>25</v>
      </c>
      <c r="L131" s="3">
        <v>22</v>
      </c>
      <c r="M131" s="3">
        <v>1</v>
      </c>
      <c r="N131" s="3">
        <v>0</v>
      </c>
      <c r="O131" s="3">
        <v>2</v>
      </c>
      <c r="P131" s="3">
        <f t="shared" si="0"/>
        <v>0</v>
      </c>
      <c r="Q131" s="3">
        <f t="shared" si="1"/>
        <v>88</v>
      </c>
      <c r="R131" s="3">
        <f t="shared" si="2"/>
        <v>8</v>
      </c>
      <c r="S131" s="11"/>
    </row>
    <row r="132" ht="13.5" customHeight="1" spans="1:19">
      <c r="A132" s="4" t="s">
        <v>86</v>
      </c>
      <c r="B132" s="3">
        <v>1097</v>
      </c>
      <c r="C132" s="3">
        <v>6679</v>
      </c>
      <c r="D132" s="3">
        <v>3</v>
      </c>
      <c r="E132" s="4" t="s">
        <v>38</v>
      </c>
      <c r="F132" s="4" t="s">
        <v>87</v>
      </c>
      <c r="G132" s="4" t="s">
        <v>87</v>
      </c>
      <c r="H132" s="4" t="s">
        <v>40</v>
      </c>
      <c r="I132" s="4" t="s">
        <v>26</v>
      </c>
      <c r="J132" s="3">
        <v>3</v>
      </c>
      <c r="K132" s="3">
        <v>25</v>
      </c>
      <c r="L132" s="3">
        <v>20</v>
      </c>
      <c r="M132" s="3">
        <v>2</v>
      </c>
      <c r="N132" s="3">
        <v>0</v>
      </c>
      <c r="O132" s="3">
        <v>3</v>
      </c>
      <c r="P132" s="3">
        <f t="shared" si="0"/>
        <v>0</v>
      </c>
      <c r="Q132" s="3">
        <f t="shared" si="1"/>
        <v>80</v>
      </c>
      <c r="R132" s="3">
        <f t="shared" si="2"/>
        <v>12</v>
      </c>
      <c r="S132" s="11"/>
    </row>
    <row r="133" ht="13.5" customHeight="1" spans="1:19">
      <c r="A133" s="4" t="s">
        <v>86</v>
      </c>
      <c r="B133" s="3">
        <v>1097</v>
      </c>
      <c r="C133" s="3">
        <v>6679</v>
      </c>
      <c r="D133" s="3">
        <v>3</v>
      </c>
      <c r="E133" s="4" t="s">
        <v>38</v>
      </c>
      <c r="F133" s="4" t="s">
        <v>87</v>
      </c>
      <c r="G133" s="4" t="s">
        <v>87</v>
      </c>
      <c r="H133" s="4" t="s">
        <v>40</v>
      </c>
      <c r="I133" s="4" t="s">
        <v>26</v>
      </c>
      <c r="J133" s="3">
        <v>4</v>
      </c>
      <c r="K133" s="3">
        <v>25</v>
      </c>
      <c r="L133" s="3">
        <v>20</v>
      </c>
      <c r="M133" s="3">
        <v>1</v>
      </c>
      <c r="N133" s="3">
        <v>0</v>
      </c>
      <c r="O133" s="3">
        <v>4</v>
      </c>
      <c r="P133" s="3">
        <f t="shared" si="0"/>
        <v>0</v>
      </c>
      <c r="Q133" s="3">
        <f t="shared" si="1"/>
        <v>80</v>
      </c>
      <c r="R133" s="3">
        <f t="shared" si="2"/>
        <v>16</v>
      </c>
      <c r="S133" s="11"/>
    </row>
    <row r="134" ht="13.5" customHeight="1" spans="1:21">
      <c r="A134" s="4" t="s">
        <v>47</v>
      </c>
      <c r="B134" s="3">
        <v>1504</v>
      </c>
      <c r="C134" s="3">
        <v>9859</v>
      </c>
      <c r="D134" s="3">
        <v>0.1</v>
      </c>
      <c r="E134" s="4" t="s">
        <v>28</v>
      </c>
      <c r="F134" s="4" t="s">
        <v>78</v>
      </c>
      <c r="G134" s="4" t="s">
        <v>79</v>
      </c>
      <c r="H134" s="4" t="s">
        <v>40</v>
      </c>
      <c r="I134" s="4" t="s">
        <v>26</v>
      </c>
      <c r="J134" s="3">
        <v>1</v>
      </c>
      <c r="K134" s="3">
        <v>25</v>
      </c>
      <c r="L134" s="3">
        <v>0</v>
      </c>
      <c r="M134" s="3">
        <v>4</v>
      </c>
      <c r="N134" s="3">
        <v>6</v>
      </c>
      <c r="O134" s="3">
        <v>15</v>
      </c>
      <c r="P134" s="3">
        <f t="shared" si="0"/>
        <v>0</v>
      </c>
      <c r="Q134" s="3">
        <f t="shared" si="1"/>
        <v>0</v>
      </c>
      <c r="R134" s="3">
        <f t="shared" si="2"/>
        <v>78.9473684210526</v>
      </c>
      <c r="S134" s="11">
        <f>AVERAGE(Q134:Q137)</f>
        <v>3.88157894736842</v>
      </c>
      <c r="T134" s="7">
        <f>AVERAGE(R134:R137)</f>
        <v>80.933014354067</v>
      </c>
      <c r="U134" s="8">
        <f>(L134+L135+L136+L137+O134+O135+O136+O137)/(K134+K135+K136+K137)*100</f>
        <v>68</v>
      </c>
    </row>
    <row r="135" ht="13.5" customHeight="1" spans="1:19">
      <c r="A135" s="4" t="s">
        <v>47</v>
      </c>
      <c r="B135" s="3">
        <v>1504</v>
      </c>
      <c r="C135" s="3">
        <v>9859</v>
      </c>
      <c r="D135" s="3">
        <v>0.1</v>
      </c>
      <c r="E135" s="4" t="s">
        <v>28</v>
      </c>
      <c r="F135" s="4" t="s">
        <v>78</v>
      </c>
      <c r="G135" s="4" t="s">
        <v>79</v>
      </c>
      <c r="H135" s="4" t="s">
        <v>40</v>
      </c>
      <c r="I135" s="4" t="s">
        <v>26</v>
      </c>
      <c r="J135" s="3">
        <v>2</v>
      </c>
      <c r="K135" s="3">
        <v>25</v>
      </c>
      <c r="L135" s="3">
        <v>1</v>
      </c>
      <c r="M135" s="3">
        <v>1</v>
      </c>
      <c r="N135" s="3">
        <v>5</v>
      </c>
      <c r="O135" s="3">
        <v>18</v>
      </c>
      <c r="P135" s="3">
        <f t="shared" si="0"/>
        <v>0</v>
      </c>
      <c r="Q135" s="3">
        <f t="shared" si="1"/>
        <v>5</v>
      </c>
      <c r="R135" s="3">
        <f t="shared" si="2"/>
        <v>90</v>
      </c>
      <c r="S135" s="11"/>
    </row>
    <row r="136" ht="13.5" customHeight="1" spans="1:19">
      <c r="A136" s="4" t="s">
        <v>47</v>
      </c>
      <c r="B136" s="3">
        <v>1504</v>
      </c>
      <c r="C136" s="3">
        <v>9859</v>
      </c>
      <c r="D136" s="3">
        <v>0.1</v>
      </c>
      <c r="E136" s="4" t="s">
        <v>28</v>
      </c>
      <c r="F136" s="4" t="s">
        <v>78</v>
      </c>
      <c r="G136" s="4" t="s">
        <v>79</v>
      </c>
      <c r="H136" s="4" t="s">
        <v>40</v>
      </c>
      <c r="I136" s="4" t="s">
        <v>26</v>
      </c>
      <c r="J136" s="3">
        <v>3</v>
      </c>
      <c r="K136" s="3">
        <v>25</v>
      </c>
      <c r="L136" s="3">
        <v>0</v>
      </c>
      <c r="M136" s="3">
        <v>3</v>
      </c>
      <c r="N136" s="3">
        <v>3</v>
      </c>
      <c r="O136" s="3">
        <v>19</v>
      </c>
      <c r="P136" s="3">
        <f t="shared" si="0"/>
        <v>0</v>
      </c>
      <c r="Q136" s="3">
        <f t="shared" si="1"/>
        <v>0</v>
      </c>
      <c r="R136" s="3">
        <f t="shared" si="2"/>
        <v>86.3636363636364</v>
      </c>
      <c r="S136" s="11"/>
    </row>
    <row r="137" ht="13.5" customHeight="1" spans="1:19">
      <c r="A137" s="4" t="s">
        <v>47</v>
      </c>
      <c r="B137" s="3">
        <v>1504</v>
      </c>
      <c r="C137" s="3">
        <v>9859</v>
      </c>
      <c r="D137" s="3">
        <v>0.1</v>
      </c>
      <c r="E137" s="4" t="s">
        <v>28</v>
      </c>
      <c r="F137" s="4" t="s">
        <v>78</v>
      </c>
      <c r="G137" s="4" t="s">
        <v>79</v>
      </c>
      <c r="H137" s="4" t="s">
        <v>40</v>
      </c>
      <c r="I137" s="4" t="s">
        <v>26</v>
      </c>
      <c r="J137" s="3">
        <v>4</v>
      </c>
      <c r="K137" s="3">
        <v>25</v>
      </c>
      <c r="L137" s="3">
        <v>2</v>
      </c>
      <c r="M137" s="3">
        <v>4</v>
      </c>
      <c r="N137" s="3">
        <v>6</v>
      </c>
      <c r="O137" s="3">
        <v>13</v>
      </c>
      <c r="P137" s="3">
        <f t="shared" si="0"/>
        <v>0</v>
      </c>
      <c r="Q137" s="3">
        <f t="shared" si="1"/>
        <v>10.5263157894737</v>
      </c>
      <c r="R137" s="3">
        <f t="shared" si="2"/>
        <v>68.4210526315789</v>
      </c>
      <c r="S137" s="11"/>
    </row>
    <row r="138" ht="13.5" customHeight="1" spans="1:21">
      <c r="A138" s="4" t="s">
        <v>77</v>
      </c>
      <c r="B138" s="3">
        <v>1746</v>
      </c>
      <c r="C138" s="3">
        <v>10331</v>
      </c>
      <c r="D138" s="3">
        <v>0.1</v>
      </c>
      <c r="E138" s="4" t="s">
        <v>88</v>
      </c>
      <c r="F138" s="4" t="s">
        <v>89</v>
      </c>
      <c r="G138" s="4" t="s">
        <v>90</v>
      </c>
      <c r="H138" s="4" t="s">
        <v>25</v>
      </c>
      <c r="I138" s="4" t="s">
        <v>26</v>
      </c>
      <c r="J138" s="3">
        <v>1</v>
      </c>
      <c r="K138" s="3">
        <v>25</v>
      </c>
      <c r="L138" s="3">
        <v>25</v>
      </c>
      <c r="M138" s="3">
        <v>0</v>
      </c>
      <c r="N138" s="3">
        <v>0</v>
      </c>
      <c r="O138" s="3">
        <v>0</v>
      </c>
      <c r="P138" s="3">
        <f t="shared" si="0"/>
        <v>0</v>
      </c>
      <c r="Q138" s="3">
        <f t="shared" si="1"/>
        <v>100</v>
      </c>
      <c r="R138" s="3">
        <f t="shared" si="2"/>
        <v>0</v>
      </c>
      <c r="S138" s="11">
        <f>AVERAGE(Q138:Q141)</f>
        <v>93.6594202898551</v>
      </c>
      <c r="T138" s="7">
        <f>AVERAGE(R138:R141)</f>
        <v>4.16666666666667</v>
      </c>
      <c r="U138" s="8">
        <f>(L138+L139+L140+L141+O138+O139+O140+O141)/(K138+K139+K140+K141)*100</f>
        <v>94</v>
      </c>
    </row>
    <row r="139" ht="13.5" customHeight="1" spans="1:19">
      <c r="A139" s="4" t="s">
        <v>77</v>
      </c>
      <c r="B139" s="3">
        <v>1746</v>
      </c>
      <c r="C139" s="3">
        <v>10331</v>
      </c>
      <c r="D139" s="3">
        <v>0.1</v>
      </c>
      <c r="E139" s="4" t="s">
        <v>88</v>
      </c>
      <c r="F139" s="4" t="s">
        <v>89</v>
      </c>
      <c r="G139" s="4" t="s">
        <v>90</v>
      </c>
      <c r="H139" s="4" t="s">
        <v>25</v>
      </c>
      <c r="I139" s="4" t="s">
        <v>26</v>
      </c>
      <c r="J139" s="3">
        <v>2</v>
      </c>
      <c r="K139" s="3">
        <v>25</v>
      </c>
      <c r="L139" s="3">
        <v>21</v>
      </c>
      <c r="M139" s="3">
        <v>0</v>
      </c>
      <c r="N139" s="3">
        <v>1</v>
      </c>
      <c r="O139" s="3">
        <v>3</v>
      </c>
      <c r="P139" s="3">
        <f t="shared" si="0"/>
        <v>0</v>
      </c>
      <c r="Q139" s="3">
        <f t="shared" si="1"/>
        <v>87.5</v>
      </c>
      <c r="R139" s="3">
        <f t="shared" si="2"/>
        <v>12.5</v>
      </c>
      <c r="S139" s="11"/>
    </row>
    <row r="140" ht="13.5" customHeight="1" spans="1:19">
      <c r="A140" s="4" t="s">
        <v>77</v>
      </c>
      <c r="B140" s="3">
        <v>1746</v>
      </c>
      <c r="C140" s="3">
        <v>10331</v>
      </c>
      <c r="D140" s="3">
        <v>0.1</v>
      </c>
      <c r="E140" s="4" t="s">
        <v>88</v>
      </c>
      <c r="F140" s="4" t="s">
        <v>89</v>
      </c>
      <c r="G140" s="4" t="s">
        <v>90</v>
      </c>
      <c r="H140" s="4" t="s">
        <v>25</v>
      </c>
      <c r="I140" s="4" t="s">
        <v>26</v>
      </c>
      <c r="J140" s="3">
        <v>3</v>
      </c>
      <c r="K140" s="3">
        <v>25</v>
      </c>
      <c r="L140" s="3">
        <v>23</v>
      </c>
      <c r="M140" s="3">
        <v>0</v>
      </c>
      <c r="N140" s="3">
        <v>1</v>
      </c>
      <c r="O140" s="3">
        <v>1</v>
      </c>
      <c r="P140" s="3">
        <f t="shared" si="0"/>
        <v>0</v>
      </c>
      <c r="Q140" s="3">
        <f t="shared" si="1"/>
        <v>95.8333333333333</v>
      </c>
      <c r="R140" s="3">
        <f t="shared" si="2"/>
        <v>4.16666666666667</v>
      </c>
      <c r="S140" s="11"/>
    </row>
    <row r="141" ht="13.5" customHeight="1" spans="1:19">
      <c r="A141" s="4" t="s">
        <v>77</v>
      </c>
      <c r="B141" s="3">
        <v>1746</v>
      </c>
      <c r="C141" s="3">
        <v>10331</v>
      </c>
      <c r="D141" s="3">
        <v>0.1</v>
      </c>
      <c r="E141" s="4" t="s">
        <v>88</v>
      </c>
      <c r="F141" s="4" t="s">
        <v>89</v>
      </c>
      <c r="G141" s="4" t="s">
        <v>90</v>
      </c>
      <c r="H141" s="4" t="s">
        <v>25</v>
      </c>
      <c r="I141" s="4" t="s">
        <v>26</v>
      </c>
      <c r="J141" s="3">
        <v>4</v>
      </c>
      <c r="K141" s="3">
        <v>25</v>
      </c>
      <c r="L141" s="3">
        <v>21</v>
      </c>
      <c r="M141" s="3">
        <v>2</v>
      </c>
      <c r="N141" s="3">
        <v>2</v>
      </c>
      <c r="O141" s="3">
        <v>0</v>
      </c>
      <c r="P141" s="3">
        <f t="shared" si="0"/>
        <v>0</v>
      </c>
      <c r="Q141" s="3">
        <f t="shared" si="1"/>
        <v>91.304347826087</v>
      </c>
      <c r="R141" s="3">
        <f t="shared" si="2"/>
        <v>0</v>
      </c>
      <c r="S141" s="11"/>
    </row>
    <row r="142" ht="13.5" customHeight="1" spans="1:21">
      <c r="A142" s="4" t="s">
        <v>91</v>
      </c>
      <c r="B142" s="3">
        <v>1007</v>
      </c>
      <c r="C142" s="3">
        <v>4939</v>
      </c>
      <c r="D142" s="3">
        <v>0.1</v>
      </c>
      <c r="E142" s="4" t="s">
        <v>52</v>
      </c>
      <c r="F142" s="4" t="s">
        <v>80</v>
      </c>
      <c r="G142" s="4" t="s">
        <v>92</v>
      </c>
      <c r="H142" s="4" t="s">
        <v>25</v>
      </c>
      <c r="I142" s="4" t="s">
        <v>26</v>
      </c>
      <c r="J142" s="3">
        <v>1</v>
      </c>
      <c r="K142" s="3">
        <v>25</v>
      </c>
      <c r="L142" s="3">
        <v>0</v>
      </c>
      <c r="M142" s="3">
        <v>4</v>
      </c>
      <c r="N142" s="3">
        <v>0</v>
      </c>
      <c r="O142" s="3">
        <v>21</v>
      </c>
      <c r="P142" s="3">
        <f t="shared" si="0"/>
        <v>0</v>
      </c>
      <c r="Q142" s="3">
        <f t="shared" si="1"/>
        <v>0</v>
      </c>
      <c r="R142" s="3">
        <f t="shared" si="2"/>
        <v>84</v>
      </c>
      <c r="S142" s="11">
        <f>AVERAGE(Q142:Q145)</f>
        <v>0</v>
      </c>
      <c r="T142" s="7">
        <f>AVERAGE(R142:R145)</f>
        <v>84</v>
      </c>
      <c r="U142" s="8">
        <f>(L142+L143+L144+L145+O142+O143+O144+O145)/(K142+K143+K144+K145)*100</f>
        <v>84</v>
      </c>
    </row>
    <row r="143" ht="13.5" customHeight="1" spans="1:19">
      <c r="A143" s="4" t="s">
        <v>91</v>
      </c>
      <c r="B143" s="3">
        <v>1007</v>
      </c>
      <c r="C143" s="3">
        <v>4939</v>
      </c>
      <c r="D143" s="3">
        <v>0.1</v>
      </c>
      <c r="E143" s="4" t="s">
        <v>52</v>
      </c>
      <c r="F143" s="4" t="s">
        <v>80</v>
      </c>
      <c r="G143" s="4" t="s">
        <v>92</v>
      </c>
      <c r="H143" s="4" t="s">
        <v>25</v>
      </c>
      <c r="I143" s="4" t="s">
        <v>26</v>
      </c>
      <c r="J143" s="3">
        <v>2</v>
      </c>
      <c r="K143" s="3">
        <v>25</v>
      </c>
      <c r="L143" s="3">
        <v>0</v>
      </c>
      <c r="M143" s="3">
        <v>6</v>
      </c>
      <c r="N143" s="3">
        <v>0</v>
      </c>
      <c r="O143" s="3">
        <v>19</v>
      </c>
      <c r="P143" s="3">
        <f t="shared" si="0"/>
        <v>0</v>
      </c>
      <c r="Q143" s="3">
        <f t="shared" si="1"/>
        <v>0</v>
      </c>
      <c r="R143" s="3">
        <f t="shared" si="2"/>
        <v>76</v>
      </c>
      <c r="S143" s="11"/>
    </row>
    <row r="144" ht="13.5" customHeight="1" spans="1:19">
      <c r="A144" s="4" t="s">
        <v>91</v>
      </c>
      <c r="B144" s="3">
        <v>1007</v>
      </c>
      <c r="C144" s="3">
        <v>4939</v>
      </c>
      <c r="D144" s="3">
        <v>0.1</v>
      </c>
      <c r="E144" s="4" t="s">
        <v>52</v>
      </c>
      <c r="F144" s="4" t="s">
        <v>80</v>
      </c>
      <c r="G144" s="4" t="s">
        <v>92</v>
      </c>
      <c r="H144" s="4" t="s">
        <v>25</v>
      </c>
      <c r="I144" s="4" t="s">
        <v>26</v>
      </c>
      <c r="J144" s="3">
        <v>3</v>
      </c>
      <c r="K144" s="3">
        <v>25</v>
      </c>
      <c r="L144" s="3">
        <v>0</v>
      </c>
      <c r="M144" s="3">
        <v>3</v>
      </c>
      <c r="N144" s="3">
        <v>0</v>
      </c>
      <c r="O144" s="3">
        <v>22</v>
      </c>
      <c r="P144" s="3">
        <f t="shared" si="0"/>
        <v>0</v>
      </c>
      <c r="Q144" s="3">
        <f t="shared" si="1"/>
        <v>0</v>
      </c>
      <c r="R144" s="3">
        <f t="shared" si="2"/>
        <v>88</v>
      </c>
      <c r="S144" s="11"/>
    </row>
    <row r="145" ht="13.5" customHeight="1" spans="1:19">
      <c r="A145" s="4" t="s">
        <v>91</v>
      </c>
      <c r="B145" s="3">
        <v>1007</v>
      </c>
      <c r="C145" s="3">
        <v>4939</v>
      </c>
      <c r="D145" s="3">
        <v>0.1</v>
      </c>
      <c r="E145" s="4" t="s">
        <v>52</v>
      </c>
      <c r="F145" s="4" t="s">
        <v>80</v>
      </c>
      <c r="G145" s="4" t="s">
        <v>92</v>
      </c>
      <c r="H145" s="4" t="s">
        <v>25</v>
      </c>
      <c r="I145" s="4" t="s">
        <v>26</v>
      </c>
      <c r="J145" s="3">
        <v>4</v>
      </c>
      <c r="K145" s="3">
        <v>25</v>
      </c>
      <c r="L145" s="3">
        <v>0</v>
      </c>
      <c r="M145" s="3">
        <v>3</v>
      </c>
      <c r="N145" s="3">
        <v>0</v>
      </c>
      <c r="O145" s="3">
        <v>22</v>
      </c>
      <c r="P145" s="3">
        <f t="shared" si="0"/>
        <v>0</v>
      </c>
      <c r="Q145" s="3">
        <f t="shared" si="1"/>
        <v>0</v>
      </c>
      <c r="R145" s="3">
        <f t="shared" si="2"/>
        <v>88</v>
      </c>
      <c r="S145" s="11"/>
    </row>
    <row r="146" ht="13.5" customHeight="1" spans="1:21">
      <c r="A146" s="4" t="s">
        <v>66</v>
      </c>
      <c r="B146" s="3">
        <v>1153</v>
      </c>
      <c r="C146" s="3">
        <v>7684</v>
      </c>
      <c r="D146" s="3">
        <v>2</v>
      </c>
      <c r="E146" s="4" t="s">
        <v>38</v>
      </c>
      <c r="F146" s="4" t="s">
        <v>87</v>
      </c>
      <c r="G146" s="4" t="s">
        <v>87</v>
      </c>
      <c r="H146" s="4" t="s">
        <v>40</v>
      </c>
      <c r="I146" s="4" t="s">
        <v>26</v>
      </c>
      <c r="J146" s="3">
        <v>1</v>
      </c>
      <c r="K146" s="3">
        <v>25</v>
      </c>
      <c r="L146" s="3">
        <v>7</v>
      </c>
      <c r="M146" s="3">
        <v>6</v>
      </c>
      <c r="N146" s="3">
        <v>0</v>
      </c>
      <c r="O146" s="3">
        <v>12</v>
      </c>
      <c r="P146" s="3">
        <f t="shared" si="0"/>
        <v>0</v>
      </c>
      <c r="Q146" s="3">
        <f t="shared" si="1"/>
        <v>28</v>
      </c>
      <c r="R146" s="3">
        <f t="shared" si="2"/>
        <v>48</v>
      </c>
      <c r="S146" s="11">
        <f>AVERAGE(Q146:Q149)</f>
        <v>29</v>
      </c>
      <c r="T146" s="7">
        <f>AVERAGE(R146:R149)</f>
        <v>41</v>
      </c>
      <c r="U146" s="8">
        <f>(L146+L147+L148+L149+O146+O147+O148+O149)/(K146+K147+K148+K149)*100</f>
        <v>70</v>
      </c>
    </row>
    <row r="147" ht="13.5" customHeight="1" spans="1:19">
      <c r="A147" s="4" t="s">
        <v>66</v>
      </c>
      <c r="B147" s="3">
        <v>1153</v>
      </c>
      <c r="C147" s="3">
        <v>7684</v>
      </c>
      <c r="D147" s="3">
        <v>2</v>
      </c>
      <c r="E147" s="4" t="s">
        <v>38</v>
      </c>
      <c r="F147" s="4" t="s">
        <v>87</v>
      </c>
      <c r="G147" s="4" t="s">
        <v>87</v>
      </c>
      <c r="H147" s="4" t="s">
        <v>40</v>
      </c>
      <c r="I147" s="4" t="s">
        <v>26</v>
      </c>
      <c r="J147" s="3">
        <v>2</v>
      </c>
      <c r="K147" s="3">
        <v>25</v>
      </c>
      <c r="L147" s="3">
        <v>6</v>
      </c>
      <c r="M147" s="3">
        <v>9</v>
      </c>
      <c r="N147" s="3">
        <v>0</v>
      </c>
      <c r="O147" s="3">
        <v>10</v>
      </c>
      <c r="P147" s="3">
        <f t="shared" si="0"/>
        <v>0</v>
      </c>
      <c r="Q147" s="3">
        <f t="shared" si="1"/>
        <v>24</v>
      </c>
      <c r="R147" s="3">
        <f t="shared" si="2"/>
        <v>40</v>
      </c>
      <c r="S147" s="11"/>
    </row>
    <row r="148" ht="13.5" customHeight="1" spans="1:19">
      <c r="A148" s="4" t="s">
        <v>66</v>
      </c>
      <c r="B148" s="3">
        <v>1153</v>
      </c>
      <c r="C148" s="3">
        <v>7684</v>
      </c>
      <c r="D148" s="3">
        <v>2</v>
      </c>
      <c r="E148" s="4" t="s">
        <v>38</v>
      </c>
      <c r="F148" s="4" t="s">
        <v>87</v>
      </c>
      <c r="G148" s="4" t="s">
        <v>87</v>
      </c>
      <c r="H148" s="4" t="s">
        <v>40</v>
      </c>
      <c r="I148" s="4" t="s">
        <v>26</v>
      </c>
      <c r="J148" s="3">
        <v>3</v>
      </c>
      <c r="K148" s="3">
        <v>25</v>
      </c>
      <c r="L148" s="3">
        <v>10</v>
      </c>
      <c r="M148" s="3">
        <v>7</v>
      </c>
      <c r="N148" s="3">
        <v>0</v>
      </c>
      <c r="O148" s="3">
        <v>8</v>
      </c>
      <c r="P148" s="3">
        <f t="shared" si="0"/>
        <v>0</v>
      </c>
      <c r="Q148" s="3">
        <f t="shared" si="1"/>
        <v>40</v>
      </c>
      <c r="R148" s="3">
        <f t="shared" si="2"/>
        <v>32</v>
      </c>
      <c r="S148" s="11"/>
    </row>
    <row r="149" ht="13.5" customHeight="1" spans="1:19">
      <c r="A149" s="4" t="s">
        <v>66</v>
      </c>
      <c r="B149" s="3">
        <v>1153</v>
      </c>
      <c r="C149" s="3">
        <v>7684</v>
      </c>
      <c r="D149" s="3">
        <v>2</v>
      </c>
      <c r="E149" s="4" t="s">
        <v>38</v>
      </c>
      <c r="F149" s="4" t="s">
        <v>87</v>
      </c>
      <c r="G149" s="4" t="s">
        <v>87</v>
      </c>
      <c r="H149" s="4" t="s">
        <v>40</v>
      </c>
      <c r="I149" s="4" t="s">
        <v>26</v>
      </c>
      <c r="J149" s="3">
        <v>4</v>
      </c>
      <c r="K149" s="3">
        <v>25</v>
      </c>
      <c r="L149" s="3">
        <v>6</v>
      </c>
      <c r="M149" s="3">
        <v>8</v>
      </c>
      <c r="N149" s="3">
        <v>0</v>
      </c>
      <c r="O149" s="3">
        <v>11</v>
      </c>
      <c r="P149" s="3">
        <f t="shared" si="0"/>
        <v>0</v>
      </c>
      <c r="Q149" s="3">
        <f t="shared" si="1"/>
        <v>24</v>
      </c>
      <c r="R149" s="3">
        <f t="shared" si="2"/>
        <v>44</v>
      </c>
      <c r="S149" s="11"/>
    </row>
    <row r="150" ht="13.5" customHeight="1" spans="1:21">
      <c r="A150" s="4" t="s">
        <v>93</v>
      </c>
      <c r="B150" s="3">
        <v>1661</v>
      </c>
      <c r="C150" s="3">
        <v>10216</v>
      </c>
      <c r="D150" s="3">
        <v>1</v>
      </c>
      <c r="E150" s="4" t="s">
        <v>28</v>
      </c>
      <c r="F150" s="4" t="s">
        <v>94</v>
      </c>
      <c r="G150" s="4" t="s">
        <v>95</v>
      </c>
      <c r="H150" s="4" t="s">
        <v>40</v>
      </c>
      <c r="I150" s="4" t="s">
        <v>26</v>
      </c>
      <c r="J150" s="3">
        <v>1</v>
      </c>
      <c r="K150" s="3">
        <v>25</v>
      </c>
      <c r="L150" s="3">
        <v>12</v>
      </c>
      <c r="M150" s="3">
        <v>5</v>
      </c>
      <c r="N150" s="3">
        <v>2</v>
      </c>
      <c r="O150" s="3">
        <v>6</v>
      </c>
      <c r="P150" s="3">
        <f t="shared" si="0"/>
        <v>0</v>
      </c>
      <c r="Q150" s="3">
        <f t="shared" si="1"/>
        <v>52.1739130434783</v>
      </c>
      <c r="R150" s="3">
        <f t="shared" si="2"/>
        <v>26.0869565217391</v>
      </c>
      <c r="S150" s="11">
        <f>AVERAGE(Q150:Q153)</f>
        <v>31.5851449275362</v>
      </c>
      <c r="T150" s="7">
        <f>AVERAGE(R150:R153)</f>
        <v>60.9384057971014</v>
      </c>
      <c r="U150" s="8">
        <f>(L150+L151+L152+L153+O150+O151+O152+O153)/(K150+K151+K152+K153)*100</f>
        <v>89</v>
      </c>
    </row>
    <row r="151" ht="13.5" customHeight="1" spans="1:19">
      <c r="A151" s="4" t="s">
        <v>93</v>
      </c>
      <c r="B151" s="3">
        <v>1661</v>
      </c>
      <c r="C151" s="3">
        <v>10216</v>
      </c>
      <c r="D151" s="3">
        <v>1</v>
      </c>
      <c r="E151" s="4" t="s">
        <v>28</v>
      </c>
      <c r="F151" s="4" t="s">
        <v>94</v>
      </c>
      <c r="G151" s="4" t="s">
        <v>95</v>
      </c>
      <c r="H151" s="4" t="s">
        <v>40</v>
      </c>
      <c r="I151" s="4" t="s">
        <v>26</v>
      </c>
      <c r="J151" s="3">
        <v>2</v>
      </c>
      <c r="K151" s="3">
        <v>25</v>
      </c>
      <c r="L151" s="3">
        <v>6</v>
      </c>
      <c r="M151" s="3">
        <v>1</v>
      </c>
      <c r="N151" s="3">
        <v>1</v>
      </c>
      <c r="O151" s="3">
        <v>17</v>
      </c>
      <c r="P151" s="3">
        <f t="shared" si="0"/>
        <v>0</v>
      </c>
      <c r="Q151" s="3">
        <f t="shared" si="1"/>
        <v>25</v>
      </c>
      <c r="R151" s="3">
        <f t="shared" si="2"/>
        <v>70.8333333333333</v>
      </c>
      <c r="S151" s="11"/>
    </row>
    <row r="152" ht="13.5" customHeight="1" spans="1:19">
      <c r="A152" s="4" t="s">
        <v>93</v>
      </c>
      <c r="B152" s="3">
        <v>1661</v>
      </c>
      <c r="C152" s="3">
        <v>10216</v>
      </c>
      <c r="D152" s="3">
        <v>1</v>
      </c>
      <c r="E152" s="4" t="s">
        <v>28</v>
      </c>
      <c r="F152" s="4" t="s">
        <v>94</v>
      </c>
      <c r="G152" s="4" t="s">
        <v>95</v>
      </c>
      <c r="H152" s="4" t="s">
        <v>40</v>
      </c>
      <c r="I152" s="4" t="s">
        <v>26</v>
      </c>
      <c r="J152" s="3">
        <v>3</v>
      </c>
      <c r="K152" s="3">
        <v>25</v>
      </c>
      <c r="L152" s="3">
        <v>7</v>
      </c>
      <c r="M152" s="3">
        <v>0</v>
      </c>
      <c r="N152" s="3">
        <v>1</v>
      </c>
      <c r="O152" s="3">
        <v>17</v>
      </c>
      <c r="P152" s="3">
        <f t="shared" si="0"/>
        <v>0</v>
      </c>
      <c r="Q152" s="3">
        <f t="shared" si="1"/>
        <v>29.1666666666667</v>
      </c>
      <c r="R152" s="3">
        <f t="shared" si="2"/>
        <v>70.8333333333333</v>
      </c>
      <c r="S152" s="11"/>
    </row>
    <row r="153" ht="13.5" customHeight="1" spans="1:19">
      <c r="A153" s="4" t="s">
        <v>93</v>
      </c>
      <c r="B153" s="3">
        <v>1661</v>
      </c>
      <c r="C153" s="3">
        <v>10216</v>
      </c>
      <c r="D153" s="3">
        <v>1</v>
      </c>
      <c r="E153" s="4" t="s">
        <v>28</v>
      </c>
      <c r="F153" s="4" t="s">
        <v>94</v>
      </c>
      <c r="G153" s="4" t="s">
        <v>95</v>
      </c>
      <c r="H153" s="4" t="s">
        <v>40</v>
      </c>
      <c r="I153" s="4" t="s">
        <v>26</v>
      </c>
      <c r="J153" s="3">
        <v>4</v>
      </c>
      <c r="K153" s="3">
        <v>25</v>
      </c>
      <c r="L153" s="3">
        <v>5</v>
      </c>
      <c r="M153" s="3">
        <v>1</v>
      </c>
      <c r="N153" s="3">
        <v>0</v>
      </c>
      <c r="O153" s="3">
        <v>19</v>
      </c>
      <c r="P153" s="3">
        <f t="shared" si="0"/>
        <v>0</v>
      </c>
      <c r="Q153" s="3">
        <f t="shared" si="1"/>
        <v>20</v>
      </c>
      <c r="R153" s="3">
        <f t="shared" si="2"/>
        <v>76</v>
      </c>
      <c r="S153" s="11"/>
    </row>
    <row r="154" ht="13.5" customHeight="1" spans="1:21">
      <c r="A154" s="4" t="s">
        <v>69</v>
      </c>
      <c r="B154" s="3">
        <v>1940</v>
      </c>
      <c r="C154" s="3">
        <v>11126</v>
      </c>
      <c r="D154" s="3">
        <v>0.1</v>
      </c>
      <c r="E154" s="4" t="s">
        <v>28</v>
      </c>
      <c r="F154" s="4" t="s">
        <v>96</v>
      </c>
      <c r="G154" s="3" t="s">
        <v>97</v>
      </c>
      <c r="H154" s="4" t="s">
        <v>40</v>
      </c>
      <c r="I154" s="4" t="s">
        <v>26</v>
      </c>
      <c r="J154" s="3">
        <v>1</v>
      </c>
      <c r="K154" s="3">
        <v>25</v>
      </c>
      <c r="L154" s="3">
        <v>1</v>
      </c>
      <c r="M154" s="3">
        <v>2</v>
      </c>
      <c r="N154" s="3">
        <v>9</v>
      </c>
      <c r="O154" s="3">
        <v>13</v>
      </c>
      <c r="P154" s="3">
        <f t="shared" si="0"/>
        <v>0</v>
      </c>
      <c r="Q154" s="3">
        <f t="shared" si="1"/>
        <v>6.25</v>
      </c>
      <c r="R154" s="3">
        <f t="shared" si="2"/>
        <v>81.25</v>
      </c>
      <c r="S154" s="11">
        <f>AVERAGE(Q154:Q157)</f>
        <v>1.5625</v>
      </c>
      <c r="T154" s="7">
        <f>AVERAGE(R154:R157)</f>
        <v>80.4315476190476</v>
      </c>
      <c r="U154" s="8">
        <f>(L154+L155+L156+L157+O154+O155+O156+O157)/(K154+K155+K156+K157)*100</f>
        <v>58</v>
      </c>
    </row>
    <row r="155" ht="13.5" customHeight="1" spans="1:19">
      <c r="A155" s="4" t="s">
        <v>69</v>
      </c>
      <c r="B155" s="3">
        <v>1940</v>
      </c>
      <c r="C155" s="3">
        <v>11126</v>
      </c>
      <c r="D155" s="3">
        <v>0.1</v>
      </c>
      <c r="E155" s="4" t="s">
        <v>28</v>
      </c>
      <c r="F155" s="4" t="s">
        <v>96</v>
      </c>
      <c r="G155" s="3" t="s">
        <v>97</v>
      </c>
      <c r="H155" s="4" t="s">
        <v>40</v>
      </c>
      <c r="I155" s="4" t="s">
        <v>26</v>
      </c>
      <c r="J155" s="3">
        <v>2</v>
      </c>
      <c r="K155" s="3">
        <v>25</v>
      </c>
      <c r="L155" s="3">
        <v>0</v>
      </c>
      <c r="M155" s="3">
        <v>5</v>
      </c>
      <c r="N155" s="3">
        <v>10</v>
      </c>
      <c r="O155" s="3">
        <v>10</v>
      </c>
      <c r="P155" s="3">
        <f t="shared" si="0"/>
        <v>0</v>
      </c>
      <c r="Q155" s="3">
        <f t="shared" si="1"/>
        <v>0</v>
      </c>
      <c r="R155" s="3">
        <f t="shared" si="2"/>
        <v>66.6666666666667</v>
      </c>
      <c r="S155" s="11"/>
    </row>
    <row r="156" ht="13.5" customHeight="1" spans="1:19">
      <c r="A156" s="4" t="s">
        <v>69</v>
      </c>
      <c r="B156" s="3">
        <v>1940</v>
      </c>
      <c r="C156" s="3">
        <v>11126</v>
      </c>
      <c r="D156" s="3">
        <v>0.1</v>
      </c>
      <c r="E156" s="4" t="s">
        <v>28</v>
      </c>
      <c r="F156" s="4" t="s">
        <v>96</v>
      </c>
      <c r="G156" s="3" t="s">
        <v>97</v>
      </c>
      <c r="H156" s="4" t="s">
        <v>40</v>
      </c>
      <c r="I156" s="4" t="s">
        <v>26</v>
      </c>
      <c r="J156" s="3">
        <v>3</v>
      </c>
      <c r="K156" s="3">
        <v>25</v>
      </c>
      <c r="L156" s="3">
        <v>0</v>
      </c>
      <c r="M156" s="3">
        <v>3</v>
      </c>
      <c r="N156" s="3">
        <v>7</v>
      </c>
      <c r="O156" s="3">
        <v>15</v>
      </c>
      <c r="P156" s="3">
        <f t="shared" si="0"/>
        <v>0</v>
      </c>
      <c r="Q156" s="3">
        <f t="shared" si="1"/>
        <v>0</v>
      </c>
      <c r="R156" s="3">
        <f t="shared" si="2"/>
        <v>83.3333333333333</v>
      </c>
      <c r="S156" s="11"/>
    </row>
    <row r="157" ht="13.5" customHeight="1" spans="1:19">
      <c r="A157" s="4" t="s">
        <v>69</v>
      </c>
      <c r="B157" s="3">
        <v>1940</v>
      </c>
      <c r="C157" s="3">
        <v>11126</v>
      </c>
      <c r="D157" s="3">
        <v>0.1</v>
      </c>
      <c r="E157" s="4" t="s">
        <v>28</v>
      </c>
      <c r="F157" s="4" t="s">
        <v>96</v>
      </c>
      <c r="G157" s="3" t="s">
        <v>97</v>
      </c>
      <c r="H157" s="4" t="s">
        <v>40</v>
      </c>
      <c r="I157" s="4" t="s">
        <v>26</v>
      </c>
      <c r="J157" s="3">
        <v>4</v>
      </c>
      <c r="K157" s="3">
        <v>25</v>
      </c>
      <c r="L157" s="3">
        <v>0</v>
      </c>
      <c r="M157" s="3">
        <v>2</v>
      </c>
      <c r="N157" s="3">
        <v>4</v>
      </c>
      <c r="O157" s="3">
        <v>19</v>
      </c>
      <c r="P157" s="3">
        <f t="shared" si="0"/>
        <v>0</v>
      </c>
      <c r="Q157" s="3">
        <f t="shared" si="1"/>
        <v>0</v>
      </c>
      <c r="R157" s="3">
        <f t="shared" si="2"/>
        <v>90.4761904761905</v>
      </c>
      <c r="S157" s="11"/>
    </row>
    <row r="158" ht="13.5" customHeight="1" spans="1:21">
      <c r="A158" s="4" t="s">
        <v>27</v>
      </c>
      <c r="B158" s="3">
        <v>1204</v>
      </c>
      <c r="C158" s="3">
        <v>7100</v>
      </c>
      <c r="D158" s="3">
        <v>0.1</v>
      </c>
      <c r="E158" s="4" t="s">
        <v>98</v>
      </c>
      <c r="F158" s="4" t="s">
        <v>99</v>
      </c>
      <c r="G158" s="4" t="s">
        <v>99</v>
      </c>
      <c r="H158" s="4" t="s">
        <v>62</v>
      </c>
      <c r="I158" s="4" t="s">
        <v>26</v>
      </c>
      <c r="J158" s="3">
        <v>1</v>
      </c>
      <c r="K158" s="3">
        <v>25</v>
      </c>
      <c r="L158" s="3">
        <v>4</v>
      </c>
      <c r="M158" s="3">
        <v>21</v>
      </c>
      <c r="N158" s="3">
        <v>0</v>
      </c>
      <c r="O158" s="3">
        <v>0</v>
      </c>
      <c r="P158" s="3">
        <f t="shared" si="0"/>
        <v>0</v>
      </c>
      <c r="Q158" s="3">
        <f t="shared" si="1"/>
        <v>16</v>
      </c>
      <c r="R158" s="3">
        <f t="shared" si="2"/>
        <v>0</v>
      </c>
      <c r="S158" s="11">
        <f>AVERAGE(Q158:Q161)</f>
        <v>9</v>
      </c>
      <c r="T158" s="7">
        <f>AVERAGE(R158:R161)</f>
        <v>2</v>
      </c>
      <c r="U158" s="8">
        <f>(L158+L159+L160+L161+O158+O159+O160+O161)/(K158+K159+K160+K161)*100</f>
        <v>11</v>
      </c>
    </row>
    <row r="159" ht="13.5" customHeight="1" spans="1:19">
      <c r="A159" s="4" t="s">
        <v>27</v>
      </c>
      <c r="B159" s="3">
        <v>1204</v>
      </c>
      <c r="C159" s="3">
        <v>7100</v>
      </c>
      <c r="D159" s="3">
        <v>0.1</v>
      </c>
      <c r="E159" s="4" t="s">
        <v>98</v>
      </c>
      <c r="F159" s="4" t="s">
        <v>99</v>
      </c>
      <c r="G159" s="4" t="s">
        <v>99</v>
      </c>
      <c r="H159" s="4" t="s">
        <v>62</v>
      </c>
      <c r="I159" s="4" t="s">
        <v>26</v>
      </c>
      <c r="J159" s="3">
        <v>2</v>
      </c>
      <c r="K159" s="3">
        <v>25</v>
      </c>
      <c r="L159" s="3">
        <v>3</v>
      </c>
      <c r="M159" s="3">
        <v>22</v>
      </c>
      <c r="N159" s="3">
        <v>0</v>
      </c>
      <c r="O159" s="3">
        <v>0</v>
      </c>
      <c r="P159" s="3">
        <f t="shared" si="0"/>
        <v>0</v>
      </c>
      <c r="Q159" s="3">
        <f t="shared" si="1"/>
        <v>12</v>
      </c>
      <c r="R159" s="3">
        <f t="shared" si="2"/>
        <v>0</v>
      </c>
      <c r="S159" s="11"/>
    </row>
    <row r="160" ht="13.5" customHeight="1" spans="1:19">
      <c r="A160" s="4" t="s">
        <v>27</v>
      </c>
      <c r="B160" s="3">
        <v>1204</v>
      </c>
      <c r="C160" s="3">
        <v>7100</v>
      </c>
      <c r="D160" s="3">
        <v>0.1</v>
      </c>
      <c r="E160" s="4" t="s">
        <v>98</v>
      </c>
      <c r="F160" s="4" t="s">
        <v>99</v>
      </c>
      <c r="G160" s="4" t="s">
        <v>99</v>
      </c>
      <c r="H160" s="4" t="s">
        <v>62</v>
      </c>
      <c r="I160" s="4" t="s">
        <v>26</v>
      </c>
      <c r="J160" s="3">
        <v>3</v>
      </c>
      <c r="K160" s="3">
        <v>25</v>
      </c>
      <c r="L160" s="3">
        <v>1</v>
      </c>
      <c r="M160" s="3">
        <v>24</v>
      </c>
      <c r="N160" s="3">
        <v>0</v>
      </c>
      <c r="O160" s="3">
        <v>0</v>
      </c>
      <c r="P160" s="3">
        <f t="shared" si="0"/>
        <v>0</v>
      </c>
      <c r="Q160" s="3">
        <f t="shared" si="1"/>
        <v>4</v>
      </c>
      <c r="R160" s="3">
        <f t="shared" si="2"/>
        <v>0</v>
      </c>
      <c r="S160" s="11"/>
    </row>
    <row r="161" ht="13.5" customHeight="1" spans="1:19">
      <c r="A161" s="4" t="s">
        <v>27</v>
      </c>
      <c r="B161" s="3">
        <v>1204</v>
      </c>
      <c r="C161" s="3">
        <v>7100</v>
      </c>
      <c r="D161" s="3">
        <v>0.1</v>
      </c>
      <c r="E161" s="4" t="s">
        <v>98</v>
      </c>
      <c r="F161" s="4" t="s">
        <v>99</v>
      </c>
      <c r="G161" s="4" t="s">
        <v>99</v>
      </c>
      <c r="H161" s="4" t="s">
        <v>62</v>
      </c>
      <c r="I161" s="4" t="s">
        <v>26</v>
      </c>
      <c r="J161" s="3">
        <v>4</v>
      </c>
      <c r="K161" s="3">
        <v>25</v>
      </c>
      <c r="L161" s="3">
        <v>1</v>
      </c>
      <c r="M161" s="3">
        <v>22</v>
      </c>
      <c r="N161" s="3">
        <v>0</v>
      </c>
      <c r="O161" s="3">
        <v>2</v>
      </c>
      <c r="P161" s="3">
        <f t="shared" si="0"/>
        <v>0</v>
      </c>
      <c r="Q161" s="3">
        <f t="shared" si="1"/>
        <v>4</v>
      </c>
      <c r="R161" s="3">
        <f t="shared" si="2"/>
        <v>8</v>
      </c>
      <c r="S161" s="11"/>
    </row>
    <row r="162" ht="13.5" customHeight="1" spans="1:21">
      <c r="A162" s="4" t="s">
        <v>42</v>
      </c>
      <c r="B162" s="3">
        <v>1441</v>
      </c>
      <c r="C162" s="3">
        <v>9420</v>
      </c>
      <c r="D162" s="3">
        <v>0.1</v>
      </c>
      <c r="E162" s="4" t="s">
        <v>28</v>
      </c>
      <c r="F162" s="4" t="s">
        <v>96</v>
      </c>
      <c r="G162" s="4" t="s">
        <v>100</v>
      </c>
      <c r="H162" s="4" t="s">
        <v>25</v>
      </c>
      <c r="I162" s="4" t="s">
        <v>26</v>
      </c>
      <c r="J162" s="3">
        <v>1</v>
      </c>
      <c r="K162" s="3">
        <v>25</v>
      </c>
      <c r="L162" s="3">
        <v>0</v>
      </c>
      <c r="M162" s="3">
        <v>2</v>
      </c>
      <c r="N162" s="3">
        <v>0</v>
      </c>
      <c r="O162" s="3">
        <v>23</v>
      </c>
      <c r="P162" s="3">
        <f t="shared" si="0"/>
        <v>0</v>
      </c>
      <c r="Q162" s="3">
        <f t="shared" si="1"/>
        <v>0</v>
      </c>
      <c r="R162" s="3">
        <f t="shared" si="2"/>
        <v>92</v>
      </c>
      <c r="S162" s="11">
        <f>AVERAGE(Q162:Q165)</f>
        <v>0</v>
      </c>
      <c r="T162" s="7">
        <f>AVERAGE(R162:R165)</f>
        <v>95</v>
      </c>
      <c r="U162" s="8">
        <f>(L162+L163+L164+L165+O162+O163+O164+O165)/(K162+K163+K164+K165)*100</f>
        <v>94</v>
      </c>
    </row>
    <row r="163" ht="13.5" customHeight="1" spans="1:19">
      <c r="A163" s="4" t="s">
        <v>42</v>
      </c>
      <c r="B163" s="3">
        <v>1441</v>
      </c>
      <c r="C163" s="3">
        <v>9420</v>
      </c>
      <c r="D163" s="3">
        <v>0.1</v>
      </c>
      <c r="E163" s="4" t="s">
        <v>28</v>
      </c>
      <c r="F163" s="4" t="s">
        <v>96</v>
      </c>
      <c r="G163" s="4" t="s">
        <v>100</v>
      </c>
      <c r="H163" s="4" t="s">
        <v>25</v>
      </c>
      <c r="I163" s="4" t="s">
        <v>26</v>
      </c>
      <c r="J163" s="3">
        <v>2</v>
      </c>
      <c r="K163" s="3">
        <v>25</v>
      </c>
      <c r="L163" s="3">
        <v>0</v>
      </c>
      <c r="M163" s="3">
        <v>2</v>
      </c>
      <c r="N163" s="3">
        <v>0</v>
      </c>
      <c r="O163" s="3">
        <v>23</v>
      </c>
      <c r="P163" s="3">
        <f t="shared" si="0"/>
        <v>0</v>
      </c>
      <c r="Q163" s="3">
        <f t="shared" si="1"/>
        <v>0</v>
      </c>
      <c r="R163" s="3">
        <f t="shared" si="2"/>
        <v>92</v>
      </c>
      <c r="S163" s="11"/>
    </row>
    <row r="164" ht="13.5" customHeight="1" spans="1:19">
      <c r="A164" s="4" t="s">
        <v>42</v>
      </c>
      <c r="B164" s="3">
        <v>1441</v>
      </c>
      <c r="C164" s="3">
        <v>9420</v>
      </c>
      <c r="D164" s="3">
        <v>0.1</v>
      </c>
      <c r="E164" s="4" t="s">
        <v>28</v>
      </c>
      <c r="F164" s="4" t="s">
        <v>96</v>
      </c>
      <c r="G164" s="4" t="s">
        <v>100</v>
      </c>
      <c r="H164" s="4" t="s">
        <v>25</v>
      </c>
      <c r="I164" s="4" t="s">
        <v>26</v>
      </c>
      <c r="J164" s="3">
        <v>3</v>
      </c>
      <c r="K164" s="3">
        <v>25</v>
      </c>
      <c r="L164" s="3">
        <v>0</v>
      </c>
      <c r="M164" s="3">
        <v>1</v>
      </c>
      <c r="N164" s="3">
        <v>0</v>
      </c>
      <c r="O164" s="3">
        <v>24</v>
      </c>
      <c r="P164" s="3">
        <f t="shared" si="0"/>
        <v>0</v>
      </c>
      <c r="Q164" s="3">
        <f t="shared" si="1"/>
        <v>0</v>
      </c>
      <c r="R164" s="3">
        <f t="shared" si="2"/>
        <v>96</v>
      </c>
      <c r="S164" s="11"/>
    </row>
    <row r="165" ht="13.5" customHeight="1" spans="1:19">
      <c r="A165" s="4" t="s">
        <v>42</v>
      </c>
      <c r="B165" s="3">
        <v>1441</v>
      </c>
      <c r="C165" s="3">
        <v>9420</v>
      </c>
      <c r="D165" s="3">
        <v>0.1</v>
      </c>
      <c r="E165" s="4" t="s">
        <v>28</v>
      </c>
      <c r="F165" s="4" t="s">
        <v>96</v>
      </c>
      <c r="G165" s="4" t="s">
        <v>100</v>
      </c>
      <c r="H165" s="4" t="s">
        <v>25</v>
      </c>
      <c r="I165" s="4" t="s">
        <v>26</v>
      </c>
      <c r="J165" s="3">
        <v>4</v>
      </c>
      <c r="K165" s="3">
        <v>25</v>
      </c>
      <c r="L165" s="3">
        <v>0</v>
      </c>
      <c r="M165" s="3">
        <v>0</v>
      </c>
      <c r="N165" s="3">
        <v>1</v>
      </c>
      <c r="O165" s="3">
        <v>24</v>
      </c>
      <c r="P165" s="3">
        <f t="shared" si="0"/>
        <v>0</v>
      </c>
      <c r="Q165" s="3">
        <f t="shared" si="1"/>
        <v>0</v>
      </c>
      <c r="R165" s="3">
        <f t="shared" si="2"/>
        <v>100</v>
      </c>
      <c r="S165" s="11"/>
    </row>
    <row r="166" ht="13.5" customHeight="1" spans="1:21">
      <c r="A166" s="4" t="s">
        <v>77</v>
      </c>
      <c r="B166" s="3">
        <v>1746</v>
      </c>
      <c r="C166" s="3">
        <v>10331</v>
      </c>
      <c r="D166" s="3">
        <v>0.1</v>
      </c>
      <c r="E166" s="4" t="s">
        <v>74</v>
      </c>
      <c r="F166" s="4" t="s">
        <v>75</v>
      </c>
      <c r="G166" s="4" t="s">
        <v>76</v>
      </c>
      <c r="H166" s="4" t="s">
        <v>40</v>
      </c>
      <c r="I166" s="4" t="s">
        <v>26</v>
      </c>
      <c r="J166" s="3">
        <v>1</v>
      </c>
      <c r="K166" s="3">
        <v>25</v>
      </c>
      <c r="L166" s="3">
        <v>23</v>
      </c>
      <c r="M166" s="3">
        <v>1</v>
      </c>
      <c r="N166" s="3">
        <v>1</v>
      </c>
      <c r="O166" s="3">
        <v>0</v>
      </c>
      <c r="P166" s="3">
        <f t="shared" si="0"/>
        <v>0</v>
      </c>
      <c r="Q166" s="3">
        <f t="shared" si="1"/>
        <v>95.8333333333333</v>
      </c>
      <c r="R166" s="3">
        <f t="shared" si="2"/>
        <v>0</v>
      </c>
      <c r="S166" s="11">
        <f>AVERAGE(Q166:Q169)</f>
        <v>86.7083333333333</v>
      </c>
      <c r="T166" s="7">
        <f>AVERAGE(R166:R169)</f>
        <v>4.125</v>
      </c>
      <c r="U166" s="8">
        <f>(L166+L167+L168+L169+O166+O167+O168+O169)/(K166+K167+K168+K169)*100</f>
        <v>88</v>
      </c>
    </row>
    <row r="167" ht="13.5" customHeight="1" spans="1:19">
      <c r="A167" s="4" t="s">
        <v>77</v>
      </c>
      <c r="B167" s="3">
        <v>1746</v>
      </c>
      <c r="C167" s="3">
        <v>10331</v>
      </c>
      <c r="D167" s="3">
        <v>0.1</v>
      </c>
      <c r="E167" s="4" t="s">
        <v>74</v>
      </c>
      <c r="F167" s="4" t="s">
        <v>75</v>
      </c>
      <c r="G167" s="4" t="s">
        <v>76</v>
      </c>
      <c r="H167" s="4" t="s">
        <v>40</v>
      </c>
      <c r="I167" s="4" t="s">
        <v>26</v>
      </c>
      <c r="J167" s="3">
        <v>2</v>
      </c>
      <c r="K167" s="3">
        <v>25</v>
      </c>
      <c r="L167" s="3">
        <v>19</v>
      </c>
      <c r="M167" s="3">
        <v>5</v>
      </c>
      <c r="N167" s="3">
        <v>0</v>
      </c>
      <c r="O167" s="3">
        <v>1</v>
      </c>
      <c r="P167" s="3">
        <f t="shared" si="0"/>
        <v>0</v>
      </c>
      <c r="Q167" s="3">
        <f t="shared" si="1"/>
        <v>76</v>
      </c>
      <c r="R167" s="3">
        <f t="shared" si="2"/>
        <v>4</v>
      </c>
      <c r="S167" s="11"/>
    </row>
    <row r="168" ht="13.5" customHeight="1" spans="1:19">
      <c r="A168" s="4" t="s">
        <v>77</v>
      </c>
      <c r="B168" s="3">
        <v>1746</v>
      </c>
      <c r="C168" s="3">
        <v>10331</v>
      </c>
      <c r="D168" s="3">
        <v>0.1</v>
      </c>
      <c r="E168" s="4" t="s">
        <v>74</v>
      </c>
      <c r="F168" s="4" t="s">
        <v>75</v>
      </c>
      <c r="G168" s="4" t="s">
        <v>76</v>
      </c>
      <c r="H168" s="4" t="s">
        <v>40</v>
      </c>
      <c r="I168" s="4" t="s">
        <v>26</v>
      </c>
      <c r="J168" s="3">
        <v>3</v>
      </c>
      <c r="K168" s="3">
        <v>25</v>
      </c>
      <c r="L168" s="3">
        <v>21</v>
      </c>
      <c r="M168" s="3">
        <v>2</v>
      </c>
      <c r="N168" s="3">
        <v>1</v>
      </c>
      <c r="O168" s="3">
        <v>1</v>
      </c>
      <c r="P168" s="3">
        <f t="shared" si="0"/>
        <v>0</v>
      </c>
      <c r="Q168" s="3">
        <f t="shared" si="1"/>
        <v>87.5</v>
      </c>
      <c r="R168" s="3">
        <f t="shared" si="2"/>
        <v>4.16666666666667</v>
      </c>
      <c r="S168" s="11"/>
    </row>
    <row r="169" ht="13.5" customHeight="1" spans="1:19">
      <c r="A169" s="4" t="s">
        <v>77</v>
      </c>
      <c r="B169" s="3">
        <v>1746</v>
      </c>
      <c r="C169" s="3">
        <v>10331</v>
      </c>
      <c r="D169" s="3">
        <v>0.1</v>
      </c>
      <c r="E169" s="4" t="s">
        <v>74</v>
      </c>
      <c r="F169" s="4" t="s">
        <v>75</v>
      </c>
      <c r="G169" s="4" t="s">
        <v>76</v>
      </c>
      <c r="H169" s="4" t="s">
        <v>40</v>
      </c>
      <c r="I169" s="4" t="s">
        <v>26</v>
      </c>
      <c r="J169" s="3">
        <v>4</v>
      </c>
      <c r="K169" s="3">
        <v>25</v>
      </c>
      <c r="L169" s="3">
        <v>21</v>
      </c>
      <c r="M169" s="3">
        <v>1</v>
      </c>
      <c r="N169" s="3">
        <v>1</v>
      </c>
      <c r="O169" s="3">
        <v>2</v>
      </c>
      <c r="P169" s="3">
        <f t="shared" si="0"/>
        <v>0</v>
      </c>
      <c r="Q169" s="3">
        <f t="shared" si="1"/>
        <v>87.5</v>
      </c>
      <c r="R169" s="3">
        <f t="shared" si="2"/>
        <v>8.33333333333333</v>
      </c>
      <c r="S169" s="11"/>
    </row>
    <row r="170" ht="13.5" customHeight="1" spans="1:21">
      <c r="A170" s="4" t="s">
        <v>27</v>
      </c>
      <c r="B170" s="3">
        <v>1204</v>
      </c>
      <c r="C170" s="3">
        <v>7100</v>
      </c>
      <c r="D170" s="3">
        <v>0.1</v>
      </c>
      <c r="E170" s="4" t="s">
        <v>52</v>
      </c>
      <c r="F170" s="4" t="s">
        <v>101</v>
      </c>
      <c r="G170" s="3" t="s">
        <v>102</v>
      </c>
      <c r="H170" s="4" t="s">
        <v>40</v>
      </c>
      <c r="I170" s="4" t="s">
        <v>26</v>
      </c>
      <c r="J170" s="3">
        <v>1</v>
      </c>
      <c r="K170" s="3">
        <v>25</v>
      </c>
      <c r="L170" s="3">
        <v>16</v>
      </c>
      <c r="M170" s="3">
        <v>2</v>
      </c>
      <c r="N170" s="3">
        <v>4</v>
      </c>
      <c r="O170" s="3">
        <v>3</v>
      </c>
      <c r="P170" s="3">
        <f t="shared" si="0"/>
        <v>0</v>
      </c>
      <c r="Q170" s="3">
        <f t="shared" si="1"/>
        <v>76.1904761904762</v>
      </c>
      <c r="R170" s="3">
        <f t="shared" si="2"/>
        <v>14.2857142857143</v>
      </c>
      <c r="S170" s="11">
        <f>AVERAGE(Q170:Q173)</f>
        <v>78.8366977225673</v>
      </c>
      <c r="T170" s="7">
        <f>AVERAGE(R170:R173)</f>
        <v>5.8488612836439</v>
      </c>
      <c r="U170" s="8">
        <f>(L170+L171+L172+L173+O170+O171+O172+O173)/(K170+K171+K172+K173)*100</f>
        <v>75</v>
      </c>
    </row>
    <row r="171" ht="13.5" customHeight="1" spans="1:19">
      <c r="A171" s="4" t="s">
        <v>27</v>
      </c>
      <c r="B171" s="3">
        <v>1204</v>
      </c>
      <c r="C171" s="3">
        <v>7100</v>
      </c>
      <c r="D171" s="3">
        <v>0.1</v>
      </c>
      <c r="E171" s="4" t="s">
        <v>52</v>
      </c>
      <c r="F171" s="4" t="s">
        <v>101</v>
      </c>
      <c r="G171" s="3" t="s">
        <v>102</v>
      </c>
      <c r="H171" s="4" t="s">
        <v>40</v>
      </c>
      <c r="I171" s="4" t="s">
        <v>26</v>
      </c>
      <c r="J171" s="3">
        <v>2</v>
      </c>
      <c r="K171" s="3">
        <v>25</v>
      </c>
      <c r="L171" s="3">
        <v>18</v>
      </c>
      <c r="M171" s="3">
        <v>2</v>
      </c>
      <c r="N171" s="3">
        <v>4</v>
      </c>
      <c r="O171" s="3">
        <v>1</v>
      </c>
      <c r="P171" s="3">
        <f t="shared" si="0"/>
        <v>0</v>
      </c>
      <c r="Q171" s="3">
        <f t="shared" si="1"/>
        <v>85.7142857142857</v>
      </c>
      <c r="R171" s="3">
        <f t="shared" si="2"/>
        <v>4.76190476190476</v>
      </c>
      <c r="S171" s="11"/>
    </row>
    <row r="172" ht="13.5" customHeight="1" spans="1:19">
      <c r="A172" s="4" t="s">
        <v>27</v>
      </c>
      <c r="B172" s="3">
        <v>1204</v>
      </c>
      <c r="C172" s="3">
        <v>7100</v>
      </c>
      <c r="D172" s="3">
        <v>0.1</v>
      </c>
      <c r="E172" s="4" t="s">
        <v>52</v>
      </c>
      <c r="F172" s="4" t="s">
        <v>101</v>
      </c>
      <c r="G172" s="3" t="s">
        <v>102</v>
      </c>
      <c r="H172" s="4" t="s">
        <v>40</v>
      </c>
      <c r="I172" s="4" t="s">
        <v>26</v>
      </c>
      <c r="J172" s="3">
        <v>3</v>
      </c>
      <c r="K172" s="3">
        <v>25</v>
      </c>
      <c r="L172" s="3">
        <v>17</v>
      </c>
      <c r="M172" s="3">
        <v>7</v>
      </c>
      <c r="N172" s="3">
        <v>1</v>
      </c>
      <c r="O172" s="3">
        <v>0</v>
      </c>
      <c r="P172" s="3">
        <f t="shared" si="0"/>
        <v>0</v>
      </c>
      <c r="Q172" s="3">
        <f t="shared" si="1"/>
        <v>70.8333333333333</v>
      </c>
      <c r="R172" s="3">
        <f t="shared" si="2"/>
        <v>0</v>
      </c>
      <c r="S172" s="11"/>
    </row>
    <row r="173" ht="13.5" customHeight="1" spans="1:19">
      <c r="A173" s="4" t="s">
        <v>27</v>
      </c>
      <c r="B173" s="3">
        <v>1204</v>
      </c>
      <c r="C173" s="3">
        <v>7100</v>
      </c>
      <c r="D173" s="3">
        <v>0.1</v>
      </c>
      <c r="E173" s="4" t="s">
        <v>52</v>
      </c>
      <c r="F173" s="4" t="s">
        <v>101</v>
      </c>
      <c r="G173" s="3" t="s">
        <v>102</v>
      </c>
      <c r="H173" s="4" t="s">
        <v>40</v>
      </c>
      <c r="I173" s="4" t="s">
        <v>26</v>
      </c>
      <c r="J173" s="3">
        <v>4</v>
      </c>
      <c r="K173" s="3">
        <v>25</v>
      </c>
      <c r="L173" s="3">
        <v>19</v>
      </c>
      <c r="M173" s="3">
        <v>3</v>
      </c>
      <c r="N173" s="3">
        <v>2</v>
      </c>
      <c r="O173" s="3">
        <v>1</v>
      </c>
      <c r="P173" s="3">
        <f t="shared" si="0"/>
        <v>0</v>
      </c>
      <c r="Q173" s="3">
        <f t="shared" si="1"/>
        <v>82.6086956521739</v>
      </c>
      <c r="R173" s="3">
        <f t="shared" si="2"/>
        <v>4.34782608695652</v>
      </c>
      <c r="S173" s="11"/>
    </row>
    <row r="174" ht="13.5" customHeight="1" spans="1:21">
      <c r="A174" s="4" t="s">
        <v>47</v>
      </c>
      <c r="B174" s="3">
        <v>1504</v>
      </c>
      <c r="C174" s="3">
        <v>9859</v>
      </c>
      <c r="D174" s="3">
        <v>0.1</v>
      </c>
      <c r="E174" s="4" t="s">
        <v>28</v>
      </c>
      <c r="F174" s="4" t="s">
        <v>72</v>
      </c>
      <c r="G174" s="3" t="s">
        <v>73</v>
      </c>
      <c r="H174" s="4" t="s">
        <v>40</v>
      </c>
      <c r="I174" s="4" t="s">
        <v>26</v>
      </c>
      <c r="J174" s="3">
        <v>1</v>
      </c>
      <c r="K174" s="3">
        <v>25</v>
      </c>
      <c r="L174" s="3">
        <v>0</v>
      </c>
      <c r="M174" s="3">
        <v>3</v>
      </c>
      <c r="N174" s="3">
        <v>2</v>
      </c>
      <c r="O174" s="3">
        <v>20</v>
      </c>
      <c r="P174" s="3">
        <f t="shared" si="0"/>
        <v>0</v>
      </c>
      <c r="Q174" s="3">
        <f t="shared" si="1"/>
        <v>0</v>
      </c>
      <c r="R174" s="3">
        <f t="shared" si="2"/>
        <v>86.9565217391304</v>
      </c>
      <c r="S174" s="11">
        <f>AVERAGE(Q174:Q177)</f>
        <v>0</v>
      </c>
      <c r="T174" s="7">
        <f>AVERAGE(R174:R177)</f>
        <v>83.4474637681159</v>
      </c>
      <c r="U174" s="8">
        <f>(L174+L175+L176+L177+O174+O175+O176+O177)/(K174+K175+K176+K177)*100</f>
        <v>81</v>
      </c>
    </row>
    <row r="175" ht="13.5" customHeight="1" spans="1:19">
      <c r="A175" s="4" t="s">
        <v>47</v>
      </c>
      <c r="B175" s="3">
        <v>1504</v>
      </c>
      <c r="C175" s="3">
        <v>9859</v>
      </c>
      <c r="D175" s="3">
        <v>0.1</v>
      </c>
      <c r="E175" s="4" t="s">
        <v>28</v>
      </c>
      <c r="F175" s="4" t="s">
        <v>72</v>
      </c>
      <c r="G175" s="3" t="s">
        <v>73</v>
      </c>
      <c r="H175" s="4" t="s">
        <v>40</v>
      </c>
      <c r="I175" s="4" t="s">
        <v>26</v>
      </c>
      <c r="J175" s="3">
        <v>2</v>
      </c>
      <c r="K175" s="3">
        <v>25</v>
      </c>
      <c r="L175" s="3">
        <v>0</v>
      </c>
      <c r="M175" s="3">
        <v>4</v>
      </c>
      <c r="N175" s="3">
        <v>0</v>
      </c>
      <c r="O175" s="3">
        <v>21</v>
      </c>
      <c r="P175" s="3">
        <f t="shared" si="0"/>
        <v>0</v>
      </c>
      <c r="Q175" s="3">
        <f t="shared" si="1"/>
        <v>0</v>
      </c>
      <c r="R175" s="3">
        <f t="shared" si="2"/>
        <v>84</v>
      </c>
      <c r="S175" s="11"/>
    </row>
    <row r="176" ht="13.5" customHeight="1" spans="1:19">
      <c r="A176" s="4" t="s">
        <v>47</v>
      </c>
      <c r="B176" s="3">
        <v>1504</v>
      </c>
      <c r="C176" s="3">
        <v>9859</v>
      </c>
      <c r="D176" s="3">
        <v>0.1</v>
      </c>
      <c r="E176" s="4" t="s">
        <v>28</v>
      </c>
      <c r="F176" s="4" t="s">
        <v>72</v>
      </c>
      <c r="G176" s="3" t="s">
        <v>73</v>
      </c>
      <c r="H176" s="4" t="s">
        <v>40</v>
      </c>
      <c r="I176" s="4" t="s">
        <v>26</v>
      </c>
      <c r="J176" s="3">
        <v>3</v>
      </c>
      <c r="K176" s="3">
        <v>25</v>
      </c>
      <c r="L176" s="3">
        <v>0</v>
      </c>
      <c r="M176" s="3">
        <v>7</v>
      </c>
      <c r="N176" s="3">
        <v>1</v>
      </c>
      <c r="O176" s="3">
        <v>17</v>
      </c>
      <c r="P176" s="3">
        <f t="shared" si="0"/>
        <v>0</v>
      </c>
      <c r="Q176" s="3">
        <f t="shared" si="1"/>
        <v>0</v>
      </c>
      <c r="R176" s="3">
        <f t="shared" si="2"/>
        <v>70.8333333333333</v>
      </c>
      <c r="S176" s="11"/>
    </row>
    <row r="177" ht="13.5" customHeight="1" spans="1:19">
      <c r="A177" s="4" t="s">
        <v>47</v>
      </c>
      <c r="B177" s="3">
        <v>1504</v>
      </c>
      <c r="C177" s="3">
        <v>9859</v>
      </c>
      <c r="D177" s="3">
        <v>0.1</v>
      </c>
      <c r="E177" s="4" t="s">
        <v>28</v>
      </c>
      <c r="F177" s="4" t="s">
        <v>72</v>
      </c>
      <c r="G177" s="3" t="s">
        <v>73</v>
      </c>
      <c r="H177" s="4" t="s">
        <v>40</v>
      </c>
      <c r="I177" s="4" t="s">
        <v>26</v>
      </c>
      <c r="J177" s="3">
        <v>4</v>
      </c>
      <c r="K177" s="3">
        <v>25</v>
      </c>
      <c r="L177" s="3">
        <v>0</v>
      </c>
      <c r="M177" s="3">
        <v>2</v>
      </c>
      <c r="N177" s="3">
        <v>0</v>
      </c>
      <c r="O177" s="3">
        <v>23</v>
      </c>
      <c r="P177" s="3">
        <f t="shared" si="0"/>
        <v>0</v>
      </c>
      <c r="Q177" s="3">
        <f t="shared" si="1"/>
        <v>0</v>
      </c>
      <c r="R177" s="3">
        <f t="shared" si="2"/>
        <v>92</v>
      </c>
      <c r="S177" s="11"/>
    </row>
    <row r="178" ht="13.5" customHeight="1" spans="1:21">
      <c r="A178" s="4" t="s">
        <v>63</v>
      </c>
      <c r="B178" s="3">
        <v>1020</v>
      </c>
      <c r="C178" s="3">
        <v>5331</v>
      </c>
      <c r="D178" s="3">
        <v>0.1</v>
      </c>
      <c r="E178" s="4" t="s">
        <v>103</v>
      </c>
      <c r="F178" s="4" t="s">
        <v>104</v>
      </c>
      <c r="G178" s="4" t="s">
        <v>105</v>
      </c>
      <c r="H178" s="4" t="s">
        <v>40</v>
      </c>
      <c r="I178" s="4" t="s">
        <v>26</v>
      </c>
      <c r="J178" s="3">
        <v>1</v>
      </c>
      <c r="K178" s="3">
        <v>25</v>
      </c>
      <c r="L178" s="3">
        <v>1</v>
      </c>
      <c r="M178" s="3">
        <v>0</v>
      </c>
      <c r="N178" s="3">
        <v>0</v>
      </c>
      <c r="O178" s="3">
        <v>24</v>
      </c>
      <c r="P178" s="3">
        <f t="shared" si="0"/>
        <v>0</v>
      </c>
      <c r="Q178" s="3">
        <f t="shared" si="1"/>
        <v>4</v>
      </c>
      <c r="R178" s="3">
        <f t="shared" si="2"/>
        <v>96</v>
      </c>
      <c r="S178" s="11">
        <f>AVERAGE(Q178:Q181)</f>
        <v>11</v>
      </c>
      <c r="T178" s="7">
        <f>AVERAGE(R178:R181)</f>
        <v>89</v>
      </c>
      <c r="U178" s="8">
        <f>(L178+L179+L180+L181+O178+O179+O180+O181)/(K178+K179+K180+K181)*100</f>
        <v>100</v>
      </c>
    </row>
    <row r="179" ht="13.5" customHeight="1" spans="1:19">
      <c r="A179" s="4" t="s">
        <v>63</v>
      </c>
      <c r="B179" s="3">
        <v>1020</v>
      </c>
      <c r="C179" s="3">
        <v>5331</v>
      </c>
      <c r="D179" s="3">
        <v>0.1</v>
      </c>
      <c r="E179" s="4" t="s">
        <v>103</v>
      </c>
      <c r="F179" s="4" t="s">
        <v>104</v>
      </c>
      <c r="G179" s="4" t="s">
        <v>105</v>
      </c>
      <c r="H179" s="4" t="s">
        <v>40</v>
      </c>
      <c r="I179" s="4" t="s">
        <v>26</v>
      </c>
      <c r="J179" s="3">
        <v>2</v>
      </c>
      <c r="K179" s="3">
        <v>25</v>
      </c>
      <c r="L179" s="3">
        <v>2</v>
      </c>
      <c r="M179" s="3">
        <v>0</v>
      </c>
      <c r="N179" s="3">
        <v>0</v>
      </c>
      <c r="O179" s="3">
        <v>23</v>
      </c>
      <c r="P179" s="3">
        <f t="shared" si="0"/>
        <v>0</v>
      </c>
      <c r="Q179" s="3">
        <f t="shared" si="1"/>
        <v>8</v>
      </c>
      <c r="R179" s="3">
        <f t="shared" si="2"/>
        <v>92</v>
      </c>
      <c r="S179" s="11"/>
    </row>
    <row r="180" ht="13.5" customHeight="1" spans="1:19">
      <c r="A180" s="4" t="s">
        <v>63</v>
      </c>
      <c r="B180" s="3">
        <v>1020</v>
      </c>
      <c r="C180" s="3">
        <v>5331</v>
      </c>
      <c r="D180" s="3">
        <v>0.1</v>
      </c>
      <c r="E180" s="4" t="s">
        <v>103</v>
      </c>
      <c r="F180" s="4" t="s">
        <v>104</v>
      </c>
      <c r="G180" s="4" t="s">
        <v>105</v>
      </c>
      <c r="H180" s="4" t="s">
        <v>40</v>
      </c>
      <c r="I180" s="4" t="s">
        <v>26</v>
      </c>
      <c r="J180" s="3">
        <v>3</v>
      </c>
      <c r="K180" s="3">
        <v>25</v>
      </c>
      <c r="L180" s="3">
        <v>5</v>
      </c>
      <c r="M180" s="3">
        <v>0</v>
      </c>
      <c r="N180" s="3">
        <v>0</v>
      </c>
      <c r="O180" s="3">
        <v>20</v>
      </c>
      <c r="P180" s="3">
        <f t="shared" si="0"/>
        <v>0</v>
      </c>
      <c r="Q180" s="3">
        <f t="shared" si="1"/>
        <v>20</v>
      </c>
      <c r="R180" s="3">
        <f t="shared" si="2"/>
        <v>80</v>
      </c>
      <c r="S180" s="11"/>
    </row>
    <row r="181" ht="13.5" customHeight="1" spans="1:19">
      <c r="A181" s="4" t="s">
        <v>63</v>
      </c>
      <c r="B181" s="3">
        <v>1020</v>
      </c>
      <c r="C181" s="3">
        <v>5331</v>
      </c>
      <c r="D181" s="3">
        <v>0.1</v>
      </c>
      <c r="E181" s="4" t="s">
        <v>103</v>
      </c>
      <c r="F181" s="4" t="s">
        <v>104</v>
      </c>
      <c r="G181" s="4" t="s">
        <v>105</v>
      </c>
      <c r="H181" s="4" t="s">
        <v>40</v>
      </c>
      <c r="I181" s="4" t="s">
        <v>26</v>
      </c>
      <c r="J181" s="3">
        <v>4</v>
      </c>
      <c r="K181" s="3">
        <v>25</v>
      </c>
      <c r="L181" s="3">
        <v>3</v>
      </c>
      <c r="M181" s="3">
        <v>0</v>
      </c>
      <c r="N181" s="3">
        <v>0</v>
      </c>
      <c r="O181" s="3">
        <v>22</v>
      </c>
      <c r="P181" s="3">
        <f t="shared" si="0"/>
        <v>0</v>
      </c>
      <c r="Q181" s="3">
        <f t="shared" si="1"/>
        <v>12</v>
      </c>
      <c r="R181" s="3">
        <f t="shared" si="2"/>
        <v>88</v>
      </c>
      <c r="S181" s="11"/>
    </row>
    <row r="182" ht="13.5" customHeight="1" spans="1:21">
      <c r="A182" s="4" t="s">
        <v>93</v>
      </c>
      <c r="B182" s="3">
        <v>1661</v>
      </c>
      <c r="C182" s="3">
        <v>10216</v>
      </c>
      <c r="D182" s="3">
        <v>0.1</v>
      </c>
      <c r="E182" s="4" t="s">
        <v>74</v>
      </c>
      <c r="F182" s="4" t="s">
        <v>75</v>
      </c>
      <c r="G182" s="4" t="s">
        <v>76</v>
      </c>
      <c r="H182" s="4" t="s">
        <v>40</v>
      </c>
      <c r="I182" s="4" t="s">
        <v>26</v>
      </c>
      <c r="J182" s="3">
        <v>1</v>
      </c>
      <c r="K182" s="3">
        <v>25</v>
      </c>
      <c r="L182" s="3">
        <v>22</v>
      </c>
      <c r="M182" s="3">
        <v>0</v>
      </c>
      <c r="N182" s="3">
        <v>0</v>
      </c>
      <c r="O182" s="3">
        <v>3</v>
      </c>
      <c r="P182" s="3">
        <f t="shared" si="0"/>
        <v>0</v>
      </c>
      <c r="Q182" s="3">
        <f t="shared" si="1"/>
        <v>88</v>
      </c>
      <c r="R182" s="3">
        <f t="shared" si="2"/>
        <v>12</v>
      </c>
      <c r="S182" s="11">
        <f>AVERAGE(Q182:Q185)</f>
        <v>90.7916666666667</v>
      </c>
      <c r="T182" s="7">
        <f>AVERAGE(R182:R185)</f>
        <v>8.16666666666667</v>
      </c>
      <c r="U182" s="8">
        <f>(L182+L183+L184+L185+O182+O183+O184+O185)/(K182+K183+K184+K185)*100</f>
        <v>98</v>
      </c>
    </row>
    <row r="183" ht="13.5" customHeight="1" spans="1:19">
      <c r="A183" s="4" t="s">
        <v>93</v>
      </c>
      <c r="B183" s="3">
        <v>1661</v>
      </c>
      <c r="C183" s="3">
        <v>10216</v>
      </c>
      <c r="D183" s="3">
        <v>0.1</v>
      </c>
      <c r="E183" s="4" t="s">
        <v>74</v>
      </c>
      <c r="F183" s="4" t="s">
        <v>75</v>
      </c>
      <c r="G183" s="4" t="s">
        <v>76</v>
      </c>
      <c r="H183" s="4" t="s">
        <v>40</v>
      </c>
      <c r="I183" s="4" t="s">
        <v>26</v>
      </c>
      <c r="J183" s="3">
        <v>2</v>
      </c>
      <c r="K183" s="3">
        <v>25</v>
      </c>
      <c r="L183" s="3">
        <v>19</v>
      </c>
      <c r="M183" s="3">
        <v>1</v>
      </c>
      <c r="N183" s="3">
        <v>1</v>
      </c>
      <c r="O183" s="3">
        <v>4</v>
      </c>
      <c r="P183" s="3">
        <f t="shared" si="0"/>
        <v>0</v>
      </c>
      <c r="Q183" s="3">
        <f t="shared" si="1"/>
        <v>79.1666666666667</v>
      </c>
      <c r="R183" s="3">
        <f t="shared" si="2"/>
        <v>16.6666666666667</v>
      </c>
      <c r="S183" s="11"/>
    </row>
    <row r="184" ht="13.5" customHeight="1" spans="1:19">
      <c r="A184" s="4" t="s">
        <v>93</v>
      </c>
      <c r="B184" s="3">
        <v>1661</v>
      </c>
      <c r="C184" s="3">
        <v>10216</v>
      </c>
      <c r="D184" s="3">
        <v>0.1</v>
      </c>
      <c r="E184" s="4" t="s">
        <v>74</v>
      </c>
      <c r="F184" s="4" t="s">
        <v>75</v>
      </c>
      <c r="G184" s="4" t="s">
        <v>76</v>
      </c>
      <c r="H184" s="4" t="s">
        <v>40</v>
      </c>
      <c r="I184" s="4" t="s">
        <v>26</v>
      </c>
      <c r="J184" s="3">
        <v>3</v>
      </c>
      <c r="K184" s="3">
        <v>25</v>
      </c>
      <c r="L184" s="3">
        <v>24</v>
      </c>
      <c r="M184" s="3">
        <v>0</v>
      </c>
      <c r="N184" s="3">
        <v>0</v>
      </c>
      <c r="O184" s="3">
        <v>1</v>
      </c>
      <c r="P184" s="3">
        <f t="shared" si="0"/>
        <v>0</v>
      </c>
      <c r="Q184" s="3">
        <f t="shared" si="1"/>
        <v>96</v>
      </c>
      <c r="R184" s="3">
        <f t="shared" si="2"/>
        <v>4</v>
      </c>
      <c r="S184" s="11"/>
    </row>
    <row r="185" ht="13.5" customHeight="1" spans="1:19">
      <c r="A185" s="4" t="s">
        <v>93</v>
      </c>
      <c r="B185" s="3">
        <v>1661</v>
      </c>
      <c r="C185" s="3">
        <v>10216</v>
      </c>
      <c r="D185" s="3">
        <v>0.1</v>
      </c>
      <c r="E185" s="4" t="s">
        <v>74</v>
      </c>
      <c r="F185" s="4" t="s">
        <v>75</v>
      </c>
      <c r="G185" s="4" t="s">
        <v>76</v>
      </c>
      <c r="H185" s="4" t="s">
        <v>40</v>
      </c>
      <c r="I185" s="4" t="s">
        <v>26</v>
      </c>
      <c r="J185" s="3">
        <v>4</v>
      </c>
      <c r="K185" s="3">
        <v>25</v>
      </c>
      <c r="L185" s="3">
        <v>25</v>
      </c>
      <c r="M185" s="3">
        <v>0</v>
      </c>
      <c r="N185" s="3">
        <v>0</v>
      </c>
      <c r="O185" s="3">
        <v>0</v>
      </c>
      <c r="P185" s="3">
        <f t="shared" si="0"/>
        <v>0</v>
      </c>
      <c r="Q185" s="3">
        <f t="shared" si="1"/>
        <v>100</v>
      </c>
      <c r="R185" s="3">
        <f t="shared" si="2"/>
        <v>0</v>
      </c>
      <c r="S185" s="11"/>
    </row>
    <row r="186" ht="13.5" customHeight="1" spans="1:21">
      <c r="A186" s="4" t="s">
        <v>93</v>
      </c>
      <c r="B186" s="3">
        <v>1661</v>
      </c>
      <c r="C186" s="3">
        <v>10216</v>
      </c>
      <c r="D186" s="3">
        <v>0.1</v>
      </c>
      <c r="E186" s="4" t="s">
        <v>28</v>
      </c>
      <c r="F186" s="4" t="s">
        <v>72</v>
      </c>
      <c r="G186" s="3" t="s">
        <v>73</v>
      </c>
      <c r="H186" s="4" t="s">
        <v>40</v>
      </c>
      <c r="I186" s="4" t="s">
        <v>26</v>
      </c>
      <c r="J186" s="3">
        <v>1</v>
      </c>
      <c r="K186" s="3">
        <v>25</v>
      </c>
      <c r="L186" s="3">
        <v>0</v>
      </c>
      <c r="M186" s="3">
        <v>7</v>
      </c>
      <c r="N186" s="3">
        <v>2</v>
      </c>
      <c r="O186" s="3">
        <v>16</v>
      </c>
      <c r="P186" s="3">
        <f t="shared" si="0"/>
        <v>0</v>
      </c>
      <c r="Q186" s="3">
        <f t="shared" si="1"/>
        <v>0</v>
      </c>
      <c r="R186" s="3">
        <f t="shared" si="2"/>
        <v>69.5652173913043</v>
      </c>
      <c r="S186" s="11">
        <f>AVERAGE(Q186:Q189)</f>
        <v>0</v>
      </c>
      <c r="T186" s="7">
        <f>AVERAGE(R186:R189)</f>
        <v>80.3090152918528</v>
      </c>
      <c r="U186" s="8">
        <f>(L186+L187+L188+L189+O186+O187+O188+O189)/(K186+K187+K188+K189)*100</f>
        <v>59</v>
      </c>
    </row>
    <row r="187" ht="13.5" customHeight="1" spans="1:19">
      <c r="A187" s="4" t="s">
        <v>93</v>
      </c>
      <c r="B187" s="3">
        <v>1661</v>
      </c>
      <c r="C187" s="3">
        <v>10216</v>
      </c>
      <c r="D187" s="3">
        <v>0.1</v>
      </c>
      <c r="E187" s="4" t="s">
        <v>28</v>
      </c>
      <c r="F187" s="4" t="s">
        <v>72</v>
      </c>
      <c r="G187" s="3" t="s">
        <v>73</v>
      </c>
      <c r="H187" s="4" t="s">
        <v>40</v>
      </c>
      <c r="I187" s="4" t="s">
        <v>26</v>
      </c>
      <c r="J187" s="3">
        <v>2</v>
      </c>
      <c r="K187" s="3">
        <v>25</v>
      </c>
      <c r="L187" s="3">
        <v>0</v>
      </c>
      <c r="M187" s="3">
        <v>3</v>
      </c>
      <c r="N187" s="3">
        <v>11</v>
      </c>
      <c r="O187" s="3">
        <v>11</v>
      </c>
      <c r="P187" s="3">
        <f t="shared" si="0"/>
        <v>0</v>
      </c>
      <c r="Q187" s="3">
        <f t="shared" si="1"/>
        <v>0</v>
      </c>
      <c r="R187" s="3">
        <f t="shared" si="2"/>
        <v>78.5714285714286</v>
      </c>
      <c r="S187" s="11"/>
    </row>
    <row r="188" ht="13.5" customHeight="1" spans="1:19">
      <c r="A188" s="4" t="s">
        <v>93</v>
      </c>
      <c r="B188" s="3">
        <v>1661</v>
      </c>
      <c r="C188" s="3">
        <v>10216</v>
      </c>
      <c r="D188" s="3">
        <v>0.1</v>
      </c>
      <c r="E188" s="4" t="s">
        <v>28</v>
      </c>
      <c r="F188" s="4" t="s">
        <v>72</v>
      </c>
      <c r="G188" s="3" t="s">
        <v>73</v>
      </c>
      <c r="H188" s="4" t="s">
        <v>40</v>
      </c>
      <c r="I188" s="4" t="s">
        <v>26</v>
      </c>
      <c r="J188" s="3">
        <v>3</v>
      </c>
      <c r="K188" s="3">
        <v>25</v>
      </c>
      <c r="L188" s="3">
        <v>0</v>
      </c>
      <c r="M188" s="3">
        <v>3</v>
      </c>
      <c r="N188" s="3">
        <v>6</v>
      </c>
      <c r="O188" s="3">
        <v>16</v>
      </c>
      <c r="P188" s="3">
        <f t="shared" si="0"/>
        <v>0</v>
      </c>
      <c r="Q188" s="3">
        <f t="shared" si="1"/>
        <v>0</v>
      </c>
      <c r="R188" s="3">
        <f t="shared" si="2"/>
        <v>84.2105263157895</v>
      </c>
      <c r="S188" s="11"/>
    </row>
    <row r="189" ht="13.5" customHeight="1" spans="1:19">
      <c r="A189" s="4" t="s">
        <v>93</v>
      </c>
      <c r="B189" s="3">
        <v>1661</v>
      </c>
      <c r="C189" s="3">
        <v>10216</v>
      </c>
      <c r="D189" s="3">
        <v>0.1</v>
      </c>
      <c r="E189" s="4" t="s">
        <v>28</v>
      </c>
      <c r="F189" s="4" t="s">
        <v>72</v>
      </c>
      <c r="G189" s="3" t="s">
        <v>73</v>
      </c>
      <c r="H189" s="4" t="s">
        <v>40</v>
      </c>
      <c r="I189" s="4" t="s">
        <v>26</v>
      </c>
      <c r="J189" s="3">
        <v>4</v>
      </c>
      <c r="K189" s="3">
        <v>25</v>
      </c>
      <c r="L189" s="3">
        <v>0</v>
      </c>
      <c r="M189" s="3">
        <v>2</v>
      </c>
      <c r="N189" s="3">
        <v>7</v>
      </c>
      <c r="O189" s="3">
        <v>16</v>
      </c>
      <c r="P189" s="3">
        <f t="shared" si="0"/>
        <v>0</v>
      </c>
      <c r="Q189" s="3">
        <f t="shared" si="1"/>
        <v>0</v>
      </c>
      <c r="R189" s="3">
        <f t="shared" si="2"/>
        <v>88.8888888888889</v>
      </c>
      <c r="S189" s="11"/>
    </row>
    <row r="190" ht="13.5" customHeight="1" spans="1:21">
      <c r="A190" s="4" t="s">
        <v>57</v>
      </c>
      <c r="B190" s="3">
        <v>1847</v>
      </c>
      <c r="C190" s="3">
        <v>10763</v>
      </c>
      <c r="D190" s="3">
        <v>0.1</v>
      </c>
      <c r="E190" s="4" t="s">
        <v>28</v>
      </c>
      <c r="F190" s="4" t="s">
        <v>78</v>
      </c>
      <c r="G190" s="3" t="s">
        <v>71</v>
      </c>
      <c r="H190" s="4" t="s">
        <v>40</v>
      </c>
      <c r="I190" s="4" t="s">
        <v>26</v>
      </c>
      <c r="J190" s="3">
        <v>1</v>
      </c>
      <c r="K190" s="3">
        <v>25</v>
      </c>
      <c r="L190" s="3">
        <v>0</v>
      </c>
      <c r="M190" s="3">
        <v>4</v>
      </c>
      <c r="N190" s="3">
        <v>2</v>
      </c>
      <c r="O190" s="3">
        <v>19</v>
      </c>
      <c r="P190" s="3">
        <f t="shared" si="0"/>
        <v>0</v>
      </c>
      <c r="Q190" s="3">
        <f t="shared" si="1"/>
        <v>0</v>
      </c>
      <c r="R190" s="3">
        <f t="shared" si="2"/>
        <v>82.6086956521739</v>
      </c>
      <c r="S190" s="11">
        <f>AVERAGE(Q190:Q193)</f>
        <v>9.25</v>
      </c>
      <c r="T190" s="7">
        <f>AVERAGE(R190:R193)</f>
        <v>67.8605072463768</v>
      </c>
      <c r="U190" s="8">
        <f>(L190+L191+L192+L193+O190+O191+O192+O193)/(K190+K191+K192+K193)*100</f>
        <v>74</v>
      </c>
    </row>
    <row r="191" ht="13.5" customHeight="1" spans="1:19">
      <c r="A191" s="4" t="s">
        <v>57</v>
      </c>
      <c r="B191" s="3">
        <v>1847</v>
      </c>
      <c r="C191" s="3">
        <v>10763</v>
      </c>
      <c r="D191" s="3">
        <v>0.1</v>
      </c>
      <c r="E191" s="4" t="s">
        <v>28</v>
      </c>
      <c r="F191" s="4" t="s">
        <v>78</v>
      </c>
      <c r="G191" s="3" t="s">
        <v>71</v>
      </c>
      <c r="H191" s="4" t="s">
        <v>40</v>
      </c>
      <c r="I191" s="4" t="s">
        <v>26</v>
      </c>
      <c r="J191" s="3">
        <v>2</v>
      </c>
      <c r="K191" s="3">
        <v>25</v>
      </c>
      <c r="L191" s="3">
        <v>2</v>
      </c>
      <c r="M191" s="3">
        <v>7</v>
      </c>
      <c r="N191" s="3">
        <v>1</v>
      </c>
      <c r="O191" s="3">
        <v>15</v>
      </c>
      <c r="P191" s="3">
        <f t="shared" si="0"/>
        <v>0</v>
      </c>
      <c r="Q191" s="3">
        <f t="shared" si="1"/>
        <v>8.33333333333333</v>
      </c>
      <c r="R191" s="3">
        <f t="shared" si="2"/>
        <v>62.5</v>
      </c>
      <c r="S191" s="11"/>
    </row>
    <row r="192" ht="13.5" customHeight="1" spans="1:19">
      <c r="A192" s="4" t="s">
        <v>57</v>
      </c>
      <c r="B192" s="3">
        <v>1847</v>
      </c>
      <c r="C192" s="3">
        <v>10763</v>
      </c>
      <c r="D192" s="3">
        <v>0.1</v>
      </c>
      <c r="E192" s="4" t="s">
        <v>28</v>
      </c>
      <c r="F192" s="4" t="s">
        <v>78</v>
      </c>
      <c r="G192" s="3" t="s">
        <v>71</v>
      </c>
      <c r="H192" s="4" t="s">
        <v>40</v>
      </c>
      <c r="I192" s="4" t="s">
        <v>26</v>
      </c>
      <c r="J192" s="3">
        <v>3</v>
      </c>
      <c r="K192" s="3">
        <v>25</v>
      </c>
      <c r="L192" s="3">
        <v>4</v>
      </c>
      <c r="M192" s="3">
        <v>6</v>
      </c>
      <c r="N192" s="3">
        <v>1</v>
      </c>
      <c r="O192" s="3">
        <v>14</v>
      </c>
      <c r="P192" s="3">
        <f t="shared" si="0"/>
        <v>0</v>
      </c>
      <c r="Q192" s="3">
        <f t="shared" si="1"/>
        <v>16.6666666666667</v>
      </c>
      <c r="R192" s="3">
        <f t="shared" si="2"/>
        <v>58.3333333333333</v>
      </c>
      <c r="S192" s="11"/>
    </row>
    <row r="193" ht="13.5" customHeight="1" spans="1:19">
      <c r="A193" s="4" t="s">
        <v>57</v>
      </c>
      <c r="B193" s="3">
        <v>1847</v>
      </c>
      <c r="C193" s="3">
        <v>10763</v>
      </c>
      <c r="D193" s="3">
        <v>0.1</v>
      </c>
      <c r="E193" s="4" t="s">
        <v>28</v>
      </c>
      <c r="F193" s="4" t="s">
        <v>78</v>
      </c>
      <c r="G193" s="3" t="s">
        <v>71</v>
      </c>
      <c r="H193" s="4" t="s">
        <v>40</v>
      </c>
      <c r="I193" s="4" t="s">
        <v>26</v>
      </c>
      <c r="J193" s="3">
        <v>4</v>
      </c>
      <c r="K193" s="3">
        <v>25</v>
      </c>
      <c r="L193" s="3">
        <v>3</v>
      </c>
      <c r="M193" s="3">
        <v>5</v>
      </c>
      <c r="N193" s="3">
        <v>0</v>
      </c>
      <c r="O193" s="3">
        <v>17</v>
      </c>
      <c r="P193" s="3">
        <f t="shared" si="0"/>
        <v>0</v>
      </c>
      <c r="Q193" s="3">
        <f t="shared" si="1"/>
        <v>12</v>
      </c>
      <c r="R193" s="3">
        <f t="shared" si="2"/>
        <v>68</v>
      </c>
      <c r="S193" s="11"/>
    </row>
    <row r="194" ht="13.5" customHeight="1" spans="1:21">
      <c r="A194" s="4" t="s">
        <v>41</v>
      </c>
      <c r="B194" s="3">
        <v>1073</v>
      </c>
      <c r="C194" s="3">
        <v>6256</v>
      </c>
      <c r="D194" s="3">
        <v>1</v>
      </c>
      <c r="E194" s="4" t="s">
        <v>38</v>
      </c>
      <c r="F194" s="4" t="s">
        <v>87</v>
      </c>
      <c r="G194" s="4" t="s">
        <v>87</v>
      </c>
      <c r="H194" s="4" t="s">
        <v>40</v>
      </c>
      <c r="I194" s="4" t="s">
        <v>26</v>
      </c>
      <c r="J194" s="3">
        <v>1</v>
      </c>
      <c r="K194" s="3">
        <v>25</v>
      </c>
      <c r="L194" s="3">
        <v>18</v>
      </c>
      <c r="M194" s="3">
        <v>4</v>
      </c>
      <c r="N194" s="3">
        <v>0</v>
      </c>
      <c r="O194" s="3">
        <v>3</v>
      </c>
      <c r="P194" s="3">
        <f t="shared" si="0"/>
        <v>0</v>
      </c>
      <c r="Q194" s="3">
        <f t="shared" si="1"/>
        <v>72</v>
      </c>
      <c r="R194" s="3">
        <f t="shared" si="2"/>
        <v>12</v>
      </c>
      <c r="S194" s="11">
        <f>AVERAGE(Q194:Q197)</f>
        <v>70</v>
      </c>
      <c r="T194" s="7">
        <f>AVERAGE(R194:R197)</f>
        <v>18</v>
      </c>
      <c r="U194" s="8">
        <f>(L194+L195+L196+L197+O194+O195+O196+O197)/(K194+K195+K196+K197)*100</f>
        <v>88</v>
      </c>
    </row>
    <row r="195" ht="13.5" customHeight="1" spans="1:19">
      <c r="A195" s="4" t="s">
        <v>41</v>
      </c>
      <c r="B195" s="3">
        <v>1073</v>
      </c>
      <c r="C195" s="3">
        <v>6256</v>
      </c>
      <c r="D195" s="3">
        <v>1</v>
      </c>
      <c r="E195" s="4" t="s">
        <v>38</v>
      </c>
      <c r="F195" s="4" t="s">
        <v>87</v>
      </c>
      <c r="G195" s="4" t="s">
        <v>87</v>
      </c>
      <c r="H195" s="4" t="s">
        <v>40</v>
      </c>
      <c r="I195" s="4" t="s">
        <v>26</v>
      </c>
      <c r="J195" s="3">
        <v>2</v>
      </c>
      <c r="K195" s="3">
        <v>25</v>
      </c>
      <c r="L195" s="3">
        <v>19</v>
      </c>
      <c r="M195" s="3">
        <v>3</v>
      </c>
      <c r="N195" s="3">
        <v>0</v>
      </c>
      <c r="O195" s="3">
        <v>3</v>
      </c>
      <c r="P195" s="3">
        <f t="shared" si="0"/>
        <v>0</v>
      </c>
      <c r="Q195" s="3">
        <f t="shared" si="1"/>
        <v>76</v>
      </c>
      <c r="R195" s="3">
        <f t="shared" si="2"/>
        <v>12</v>
      </c>
      <c r="S195" s="11"/>
    </row>
    <row r="196" ht="13.5" customHeight="1" spans="1:19">
      <c r="A196" s="4" t="s">
        <v>41</v>
      </c>
      <c r="B196" s="3">
        <v>1073</v>
      </c>
      <c r="C196" s="3">
        <v>6256</v>
      </c>
      <c r="D196" s="3">
        <v>1</v>
      </c>
      <c r="E196" s="4" t="s">
        <v>38</v>
      </c>
      <c r="F196" s="4" t="s">
        <v>87</v>
      </c>
      <c r="G196" s="4" t="s">
        <v>87</v>
      </c>
      <c r="H196" s="4" t="s">
        <v>40</v>
      </c>
      <c r="I196" s="4" t="s">
        <v>26</v>
      </c>
      <c r="J196" s="3">
        <v>3</v>
      </c>
      <c r="K196" s="3">
        <v>25</v>
      </c>
      <c r="L196" s="3">
        <v>18</v>
      </c>
      <c r="M196" s="3">
        <v>1</v>
      </c>
      <c r="N196" s="3">
        <v>0</v>
      </c>
      <c r="O196" s="3">
        <v>6</v>
      </c>
      <c r="P196" s="3">
        <f t="shared" si="0"/>
        <v>0</v>
      </c>
      <c r="Q196" s="3">
        <f t="shared" si="1"/>
        <v>72</v>
      </c>
      <c r="R196" s="3">
        <f t="shared" si="2"/>
        <v>24</v>
      </c>
      <c r="S196" s="11"/>
    </row>
    <row r="197" ht="13.5" customHeight="1" spans="1:19">
      <c r="A197" s="4" t="s">
        <v>41</v>
      </c>
      <c r="B197" s="3">
        <v>1073</v>
      </c>
      <c r="C197" s="3">
        <v>6256</v>
      </c>
      <c r="D197" s="3">
        <v>1</v>
      </c>
      <c r="E197" s="4" t="s">
        <v>38</v>
      </c>
      <c r="F197" s="4" t="s">
        <v>87</v>
      </c>
      <c r="G197" s="4" t="s">
        <v>87</v>
      </c>
      <c r="H197" s="4" t="s">
        <v>40</v>
      </c>
      <c r="I197" s="4" t="s">
        <v>26</v>
      </c>
      <c r="J197" s="3">
        <v>4</v>
      </c>
      <c r="K197" s="3">
        <v>25</v>
      </c>
      <c r="L197" s="3">
        <v>15</v>
      </c>
      <c r="M197" s="3">
        <v>4</v>
      </c>
      <c r="N197" s="3">
        <v>0</v>
      </c>
      <c r="O197" s="3">
        <v>6</v>
      </c>
      <c r="P197" s="3">
        <f t="shared" si="0"/>
        <v>0</v>
      </c>
      <c r="Q197" s="3">
        <f t="shared" si="1"/>
        <v>60</v>
      </c>
      <c r="R197" s="3">
        <f t="shared" si="2"/>
        <v>24</v>
      </c>
      <c r="S197" s="11"/>
    </row>
    <row r="198" ht="13.5" customHeight="1" spans="1:21">
      <c r="A198" s="4" t="s">
        <v>85</v>
      </c>
      <c r="B198" s="3">
        <v>1167</v>
      </c>
      <c r="C198" s="3">
        <v>7918</v>
      </c>
      <c r="D198" s="3">
        <v>1</v>
      </c>
      <c r="E198" s="4" t="s">
        <v>38</v>
      </c>
      <c r="F198" s="4" t="s">
        <v>87</v>
      </c>
      <c r="G198" s="4" t="s">
        <v>87</v>
      </c>
      <c r="H198" s="4" t="s">
        <v>40</v>
      </c>
      <c r="I198" s="4" t="s">
        <v>26</v>
      </c>
      <c r="J198" s="3">
        <v>1</v>
      </c>
      <c r="K198" s="3">
        <v>25</v>
      </c>
      <c r="L198" s="3">
        <v>17</v>
      </c>
      <c r="M198" s="3">
        <v>4</v>
      </c>
      <c r="N198" s="3">
        <v>3</v>
      </c>
      <c r="O198" s="3">
        <v>1</v>
      </c>
      <c r="P198" s="3">
        <f t="shared" si="0"/>
        <v>0</v>
      </c>
      <c r="Q198" s="3">
        <f t="shared" si="1"/>
        <v>77.2727272727273</v>
      </c>
      <c r="R198" s="3">
        <f t="shared" si="2"/>
        <v>4.54545454545455</v>
      </c>
      <c r="S198" s="11">
        <f>AVERAGE(Q198:Q201)</f>
        <v>64.0909090909091</v>
      </c>
      <c r="T198" s="7">
        <f>AVERAGE(R198:R201)</f>
        <v>8.52272727272728</v>
      </c>
      <c r="U198" s="8">
        <f>(L198+L199+L200+L201+O198+O199+O200+O201)/(K198+K199+K200+K201)*100</f>
        <v>61</v>
      </c>
    </row>
    <row r="199" ht="13.5" customHeight="1" spans="1:19">
      <c r="A199" s="4" t="s">
        <v>85</v>
      </c>
      <c r="B199" s="3">
        <v>1167</v>
      </c>
      <c r="C199" s="3">
        <v>7918</v>
      </c>
      <c r="D199" s="3">
        <v>1</v>
      </c>
      <c r="E199" s="4" t="s">
        <v>38</v>
      </c>
      <c r="F199" s="4" t="s">
        <v>87</v>
      </c>
      <c r="G199" s="4" t="s">
        <v>87</v>
      </c>
      <c r="H199" s="4" t="s">
        <v>40</v>
      </c>
      <c r="I199" s="4" t="s">
        <v>26</v>
      </c>
      <c r="J199" s="3">
        <v>2</v>
      </c>
      <c r="K199" s="3">
        <v>25</v>
      </c>
      <c r="L199" s="3">
        <v>13</v>
      </c>
      <c r="M199" s="3">
        <v>8</v>
      </c>
      <c r="N199" s="3">
        <v>3</v>
      </c>
      <c r="O199" s="3">
        <v>1</v>
      </c>
      <c r="P199" s="3">
        <f t="shared" si="0"/>
        <v>0</v>
      </c>
      <c r="Q199" s="3">
        <f t="shared" si="1"/>
        <v>59.0909090909091</v>
      </c>
      <c r="R199" s="3">
        <f t="shared" si="2"/>
        <v>4.54545454545455</v>
      </c>
      <c r="S199" s="11"/>
    </row>
    <row r="200" ht="13.5" customHeight="1" spans="1:19">
      <c r="A200" s="4" t="s">
        <v>85</v>
      </c>
      <c r="B200" s="3">
        <v>1167</v>
      </c>
      <c r="C200" s="3">
        <v>7918</v>
      </c>
      <c r="D200" s="3">
        <v>1</v>
      </c>
      <c r="E200" s="4" t="s">
        <v>38</v>
      </c>
      <c r="F200" s="4" t="s">
        <v>87</v>
      </c>
      <c r="G200" s="4" t="s">
        <v>87</v>
      </c>
      <c r="H200" s="4" t="s">
        <v>40</v>
      </c>
      <c r="I200" s="4" t="s">
        <v>26</v>
      </c>
      <c r="J200" s="3">
        <v>3</v>
      </c>
      <c r="K200" s="3">
        <v>25</v>
      </c>
      <c r="L200" s="3">
        <v>11</v>
      </c>
      <c r="M200" s="3">
        <v>8</v>
      </c>
      <c r="N200" s="3">
        <v>5</v>
      </c>
      <c r="O200" s="3">
        <v>1</v>
      </c>
      <c r="P200" s="3">
        <f t="shared" si="0"/>
        <v>0</v>
      </c>
      <c r="Q200" s="3">
        <f t="shared" si="1"/>
        <v>55</v>
      </c>
      <c r="R200" s="3">
        <f t="shared" si="2"/>
        <v>5</v>
      </c>
      <c r="S200" s="11"/>
    </row>
    <row r="201" ht="13.5" customHeight="1" spans="1:19">
      <c r="A201" s="4" t="s">
        <v>85</v>
      </c>
      <c r="B201" s="3">
        <v>1167</v>
      </c>
      <c r="C201" s="3">
        <v>7918</v>
      </c>
      <c r="D201" s="3">
        <v>1</v>
      </c>
      <c r="E201" s="4" t="s">
        <v>38</v>
      </c>
      <c r="F201" s="4" t="s">
        <v>87</v>
      </c>
      <c r="G201" s="4" t="s">
        <v>87</v>
      </c>
      <c r="H201" s="4" t="s">
        <v>40</v>
      </c>
      <c r="I201" s="4" t="s">
        <v>26</v>
      </c>
      <c r="J201" s="3">
        <v>4</v>
      </c>
      <c r="K201" s="3">
        <v>25</v>
      </c>
      <c r="L201" s="3">
        <v>13</v>
      </c>
      <c r="M201" s="3">
        <v>3</v>
      </c>
      <c r="N201" s="3">
        <v>5</v>
      </c>
      <c r="O201" s="3">
        <v>4</v>
      </c>
      <c r="P201" s="3">
        <f t="shared" si="0"/>
        <v>0</v>
      </c>
      <c r="Q201" s="3">
        <f t="shared" si="1"/>
        <v>65</v>
      </c>
      <c r="R201" s="3">
        <f t="shared" si="2"/>
        <v>20</v>
      </c>
      <c r="S201" s="11"/>
    </row>
    <row r="202" ht="13.5" customHeight="1" spans="1:21">
      <c r="A202" s="4" t="s">
        <v>47</v>
      </c>
      <c r="B202" s="3">
        <v>1504</v>
      </c>
      <c r="C202" s="3">
        <v>9859</v>
      </c>
      <c r="D202" s="3">
        <v>2</v>
      </c>
      <c r="E202" s="4" t="s">
        <v>28</v>
      </c>
      <c r="F202" s="4" t="s">
        <v>94</v>
      </c>
      <c r="G202" s="4" t="s">
        <v>95</v>
      </c>
      <c r="H202" s="4" t="s">
        <v>40</v>
      </c>
      <c r="I202" s="4" t="s">
        <v>26</v>
      </c>
      <c r="J202" s="3">
        <v>1</v>
      </c>
      <c r="K202" s="3">
        <v>25</v>
      </c>
      <c r="L202" s="3">
        <v>19</v>
      </c>
      <c r="M202" s="3">
        <v>4</v>
      </c>
      <c r="N202" s="3">
        <v>0</v>
      </c>
      <c r="O202" s="3">
        <v>2</v>
      </c>
      <c r="P202" s="3">
        <f t="shared" si="0"/>
        <v>0</v>
      </c>
      <c r="Q202" s="3">
        <f t="shared" si="1"/>
        <v>76</v>
      </c>
      <c r="R202" s="3">
        <f t="shared" si="2"/>
        <v>8</v>
      </c>
      <c r="S202" s="11">
        <f>AVERAGE(Q202:Q205)</f>
        <v>80.25</v>
      </c>
      <c r="T202" s="7">
        <f>AVERAGE(R202:R205)</f>
        <v>9.5</v>
      </c>
      <c r="U202" s="8">
        <f>(L202+L203+L204+L205+O202+O203+O204+O205)/(K202+K203+K204+K205)*100</f>
        <v>86</v>
      </c>
    </row>
    <row r="203" ht="13.5" customHeight="1" spans="1:19">
      <c r="A203" s="4" t="s">
        <v>47</v>
      </c>
      <c r="B203" s="3">
        <v>1504</v>
      </c>
      <c r="C203" s="3">
        <v>9859</v>
      </c>
      <c r="D203" s="3">
        <v>2</v>
      </c>
      <c r="E203" s="4" t="s">
        <v>28</v>
      </c>
      <c r="F203" s="4" t="s">
        <v>94</v>
      </c>
      <c r="G203" s="4" t="s">
        <v>95</v>
      </c>
      <c r="H203" s="4" t="s">
        <v>40</v>
      </c>
      <c r="I203" s="4" t="s">
        <v>26</v>
      </c>
      <c r="J203" s="3">
        <v>2</v>
      </c>
      <c r="K203" s="3">
        <v>25</v>
      </c>
      <c r="L203" s="3">
        <v>22</v>
      </c>
      <c r="M203" s="3">
        <v>0</v>
      </c>
      <c r="N203" s="3">
        <v>0</v>
      </c>
      <c r="O203" s="3">
        <v>3</v>
      </c>
      <c r="P203" s="3">
        <f t="shared" si="0"/>
        <v>0</v>
      </c>
      <c r="Q203" s="3">
        <f t="shared" si="1"/>
        <v>88</v>
      </c>
      <c r="R203" s="3">
        <f t="shared" si="2"/>
        <v>12</v>
      </c>
      <c r="S203" s="11"/>
    </row>
    <row r="204" ht="13.5" customHeight="1" spans="1:19">
      <c r="A204" s="4" t="s">
        <v>47</v>
      </c>
      <c r="B204" s="3">
        <v>1504</v>
      </c>
      <c r="C204" s="3">
        <v>9859</v>
      </c>
      <c r="D204" s="3">
        <v>2</v>
      </c>
      <c r="E204" s="4" t="s">
        <v>28</v>
      </c>
      <c r="F204" s="4" t="s">
        <v>94</v>
      </c>
      <c r="G204" s="4" t="s">
        <v>95</v>
      </c>
      <c r="H204" s="4" t="s">
        <v>40</v>
      </c>
      <c r="I204" s="4" t="s">
        <v>26</v>
      </c>
      <c r="J204" s="3">
        <v>3</v>
      </c>
      <c r="K204" s="3">
        <v>25</v>
      </c>
      <c r="L204" s="3">
        <v>23</v>
      </c>
      <c r="M204" s="3">
        <v>0</v>
      </c>
      <c r="N204" s="3">
        <v>0</v>
      </c>
      <c r="O204" s="3">
        <v>2</v>
      </c>
      <c r="P204" s="3">
        <f t="shared" si="0"/>
        <v>0</v>
      </c>
      <c r="Q204" s="3">
        <f t="shared" si="1"/>
        <v>92</v>
      </c>
      <c r="R204" s="3">
        <f t="shared" si="2"/>
        <v>8</v>
      </c>
      <c r="S204" s="11"/>
    </row>
    <row r="205" ht="13.5" customHeight="1" spans="1:19">
      <c r="A205" s="4" t="s">
        <v>47</v>
      </c>
      <c r="B205" s="3">
        <v>1504</v>
      </c>
      <c r="C205" s="3">
        <v>9859</v>
      </c>
      <c r="D205" s="3">
        <v>2</v>
      </c>
      <c r="E205" s="4" t="s">
        <v>28</v>
      </c>
      <c r="F205" s="4" t="s">
        <v>94</v>
      </c>
      <c r="G205" s="4" t="s">
        <v>95</v>
      </c>
      <c r="H205" s="4" t="s">
        <v>40</v>
      </c>
      <c r="I205" s="4" t="s">
        <v>26</v>
      </c>
      <c r="J205" s="3">
        <v>4</v>
      </c>
      <c r="K205" s="3">
        <v>25</v>
      </c>
      <c r="L205" s="3">
        <v>13</v>
      </c>
      <c r="M205" s="3">
        <v>5</v>
      </c>
      <c r="N205" s="3">
        <v>5</v>
      </c>
      <c r="O205" s="3">
        <v>2</v>
      </c>
      <c r="P205" s="3">
        <f t="shared" si="0"/>
        <v>0</v>
      </c>
      <c r="Q205" s="3">
        <f t="shared" si="1"/>
        <v>65</v>
      </c>
      <c r="R205" s="3">
        <f t="shared" si="2"/>
        <v>10</v>
      </c>
      <c r="S205" s="11"/>
    </row>
    <row r="206" ht="13.5" customHeight="1" spans="1:21">
      <c r="A206" s="4" t="s">
        <v>66</v>
      </c>
      <c r="B206" s="3">
        <v>1153</v>
      </c>
      <c r="C206" s="3">
        <v>7684</v>
      </c>
      <c r="D206" s="3">
        <v>1</v>
      </c>
      <c r="E206" s="4" t="s">
        <v>22</v>
      </c>
      <c r="F206" s="4" t="s">
        <v>106</v>
      </c>
      <c r="G206" s="4" t="s">
        <v>107</v>
      </c>
      <c r="H206" s="4" t="s">
        <v>25</v>
      </c>
      <c r="I206" s="4" t="s">
        <v>26</v>
      </c>
      <c r="J206" s="3">
        <v>1</v>
      </c>
      <c r="K206" s="3">
        <v>25</v>
      </c>
      <c r="L206" s="3">
        <v>24</v>
      </c>
      <c r="M206" s="3">
        <v>1</v>
      </c>
      <c r="N206" s="3">
        <v>0</v>
      </c>
      <c r="O206" s="3">
        <v>0</v>
      </c>
      <c r="P206" s="3">
        <f t="shared" si="0"/>
        <v>0</v>
      </c>
      <c r="Q206" s="3">
        <f t="shared" si="1"/>
        <v>96</v>
      </c>
      <c r="R206" s="3">
        <f t="shared" si="2"/>
        <v>0</v>
      </c>
      <c r="S206" s="11">
        <f>AVERAGE(Q206:Q209)</f>
        <v>96</v>
      </c>
      <c r="T206" s="7">
        <f>AVERAGE(R206:R209)</f>
        <v>2</v>
      </c>
      <c r="U206" s="8">
        <f>(L206+L207+L208+L209+O206+O207+O208+O209)/(K206+K207+K208+K209)*100</f>
        <v>98</v>
      </c>
    </row>
    <row r="207" ht="13.5" customHeight="1" spans="1:19">
      <c r="A207" s="4" t="s">
        <v>66</v>
      </c>
      <c r="B207" s="3">
        <v>1153</v>
      </c>
      <c r="C207" s="3">
        <v>7684</v>
      </c>
      <c r="D207" s="3">
        <v>1</v>
      </c>
      <c r="E207" s="4" t="s">
        <v>22</v>
      </c>
      <c r="F207" s="4" t="s">
        <v>106</v>
      </c>
      <c r="G207" s="4" t="s">
        <v>107</v>
      </c>
      <c r="H207" s="4" t="s">
        <v>25</v>
      </c>
      <c r="I207" s="4" t="s">
        <v>26</v>
      </c>
      <c r="J207" s="3">
        <v>2</v>
      </c>
      <c r="K207" s="3">
        <v>25</v>
      </c>
      <c r="L207" s="3">
        <v>24</v>
      </c>
      <c r="M207" s="3">
        <v>0</v>
      </c>
      <c r="N207" s="3">
        <v>0</v>
      </c>
      <c r="O207" s="3">
        <v>1</v>
      </c>
      <c r="P207" s="3">
        <f t="shared" si="0"/>
        <v>0</v>
      </c>
      <c r="Q207" s="3">
        <f t="shared" si="1"/>
        <v>96</v>
      </c>
      <c r="R207" s="3">
        <f t="shared" si="2"/>
        <v>4</v>
      </c>
      <c r="S207" s="11"/>
    </row>
    <row r="208" ht="13.5" customHeight="1" spans="1:19">
      <c r="A208" s="4" t="s">
        <v>66</v>
      </c>
      <c r="B208" s="3">
        <v>1153</v>
      </c>
      <c r="C208" s="3">
        <v>7684</v>
      </c>
      <c r="D208" s="3">
        <v>1</v>
      </c>
      <c r="E208" s="4" t="s">
        <v>22</v>
      </c>
      <c r="F208" s="4" t="s">
        <v>106</v>
      </c>
      <c r="G208" s="4" t="s">
        <v>107</v>
      </c>
      <c r="H208" s="4" t="s">
        <v>25</v>
      </c>
      <c r="I208" s="4" t="s">
        <v>26</v>
      </c>
      <c r="J208" s="3">
        <v>3</v>
      </c>
      <c r="K208" s="3">
        <v>25</v>
      </c>
      <c r="L208" s="3">
        <v>23</v>
      </c>
      <c r="M208" s="3">
        <v>1</v>
      </c>
      <c r="N208" s="3">
        <v>0</v>
      </c>
      <c r="O208" s="3">
        <v>1</v>
      </c>
      <c r="P208" s="3">
        <f t="shared" si="0"/>
        <v>0</v>
      </c>
      <c r="Q208" s="3">
        <f t="shared" si="1"/>
        <v>92</v>
      </c>
      <c r="R208" s="3">
        <f t="shared" si="2"/>
        <v>4</v>
      </c>
      <c r="S208" s="11"/>
    </row>
    <row r="209" ht="13.5" customHeight="1" spans="1:19">
      <c r="A209" s="4" t="s">
        <v>66</v>
      </c>
      <c r="B209" s="3">
        <v>1153</v>
      </c>
      <c r="C209" s="3">
        <v>7684</v>
      </c>
      <c r="D209" s="3">
        <v>1</v>
      </c>
      <c r="E209" s="4" t="s">
        <v>22</v>
      </c>
      <c r="F209" s="4" t="s">
        <v>106</v>
      </c>
      <c r="G209" s="4" t="s">
        <v>107</v>
      </c>
      <c r="H209" s="4" t="s">
        <v>25</v>
      </c>
      <c r="I209" s="4" t="s">
        <v>26</v>
      </c>
      <c r="J209" s="3">
        <v>4</v>
      </c>
      <c r="K209" s="3">
        <v>25</v>
      </c>
      <c r="L209" s="3">
        <v>25</v>
      </c>
      <c r="M209" s="3">
        <v>0</v>
      </c>
      <c r="N209" s="3">
        <v>0</v>
      </c>
      <c r="O209" s="3">
        <v>0</v>
      </c>
      <c r="P209" s="3">
        <f t="shared" si="0"/>
        <v>0</v>
      </c>
      <c r="Q209" s="3">
        <f t="shared" si="1"/>
        <v>100</v>
      </c>
      <c r="R209" s="3">
        <f t="shared" si="2"/>
        <v>0</v>
      </c>
      <c r="S209" s="11"/>
    </row>
    <row r="210" ht="13.5" customHeight="1" spans="1:21">
      <c r="A210" s="4" t="s">
        <v>60</v>
      </c>
      <c r="B210" s="3">
        <v>1330</v>
      </c>
      <c r="C210" s="3">
        <v>9133</v>
      </c>
      <c r="D210" s="3">
        <v>0.1</v>
      </c>
      <c r="E210" s="4" t="s">
        <v>48</v>
      </c>
      <c r="F210" s="4" t="s">
        <v>108</v>
      </c>
      <c r="G210" s="4" t="s">
        <v>109</v>
      </c>
      <c r="H210" s="4" t="s">
        <v>25</v>
      </c>
      <c r="I210" s="4" t="s">
        <v>26</v>
      </c>
      <c r="J210" s="3">
        <v>1</v>
      </c>
      <c r="K210" s="3">
        <v>25</v>
      </c>
      <c r="L210" s="3">
        <v>10</v>
      </c>
      <c r="M210" s="3">
        <v>3</v>
      </c>
      <c r="N210" s="3">
        <v>3</v>
      </c>
      <c r="O210" s="3">
        <v>9</v>
      </c>
      <c r="P210" s="3">
        <f t="shared" si="0"/>
        <v>0</v>
      </c>
      <c r="Q210" s="3">
        <f t="shared" si="1"/>
        <v>45.4545454545455</v>
      </c>
      <c r="R210" s="3">
        <f t="shared" si="2"/>
        <v>40.9090909090909</v>
      </c>
      <c r="S210" s="11">
        <f>AVERAGE(Q210:Q213)</f>
        <v>72.1519708361814</v>
      </c>
      <c r="T210" s="7">
        <f>AVERAGE(R210:R213)</f>
        <v>18.703007518797</v>
      </c>
      <c r="U210" s="8">
        <f>(L210+L211+L212+L213+O210+O211+O212+O213)/(K210+K211+K212+K213)*100</f>
        <v>76</v>
      </c>
    </row>
    <row r="211" ht="13.5" customHeight="1" spans="1:19">
      <c r="A211" s="4" t="s">
        <v>60</v>
      </c>
      <c r="B211" s="3">
        <v>1330</v>
      </c>
      <c r="C211" s="3">
        <v>9133</v>
      </c>
      <c r="D211" s="3">
        <v>0.1</v>
      </c>
      <c r="E211" s="4" t="s">
        <v>48</v>
      </c>
      <c r="F211" s="4" t="s">
        <v>108</v>
      </c>
      <c r="G211" s="4" t="s">
        <v>109</v>
      </c>
      <c r="H211" s="4" t="s">
        <v>25</v>
      </c>
      <c r="I211" s="4" t="s">
        <v>26</v>
      </c>
      <c r="J211" s="3">
        <v>2</v>
      </c>
      <c r="K211" s="3">
        <v>25</v>
      </c>
      <c r="L211" s="3">
        <v>17</v>
      </c>
      <c r="M211" s="3">
        <v>0</v>
      </c>
      <c r="N211" s="3">
        <v>6</v>
      </c>
      <c r="O211" s="3">
        <v>2</v>
      </c>
      <c r="P211" s="3">
        <f t="shared" si="0"/>
        <v>0</v>
      </c>
      <c r="Q211" s="3">
        <f t="shared" si="1"/>
        <v>89.4736842105263</v>
      </c>
      <c r="R211" s="3">
        <f t="shared" si="2"/>
        <v>10.5263157894737</v>
      </c>
      <c r="S211" s="11"/>
    </row>
    <row r="212" ht="13.5" customHeight="1" spans="1:19">
      <c r="A212" s="4" t="s">
        <v>60</v>
      </c>
      <c r="B212" s="3">
        <v>1330</v>
      </c>
      <c r="C212" s="3">
        <v>9133</v>
      </c>
      <c r="D212" s="3">
        <v>0.1</v>
      </c>
      <c r="E212" s="4" t="s">
        <v>48</v>
      </c>
      <c r="F212" s="4" t="s">
        <v>108</v>
      </c>
      <c r="G212" s="4" t="s">
        <v>109</v>
      </c>
      <c r="H212" s="4" t="s">
        <v>25</v>
      </c>
      <c r="I212" s="4" t="s">
        <v>26</v>
      </c>
      <c r="J212" s="3">
        <v>3</v>
      </c>
      <c r="K212" s="3">
        <v>25</v>
      </c>
      <c r="L212" s="3">
        <v>16</v>
      </c>
      <c r="M212" s="3">
        <v>4</v>
      </c>
      <c r="N212" s="3">
        <v>3</v>
      </c>
      <c r="O212" s="3">
        <v>2</v>
      </c>
      <c r="P212" s="3">
        <f t="shared" si="0"/>
        <v>0</v>
      </c>
      <c r="Q212" s="3">
        <f t="shared" si="1"/>
        <v>72.7272727272727</v>
      </c>
      <c r="R212" s="3">
        <f t="shared" si="2"/>
        <v>9.09090909090909</v>
      </c>
      <c r="S212" s="11"/>
    </row>
    <row r="213" ht="13.5" customHeight="1" spans="1:19">
      <c r="A213" s="4" t="s">
        <v>60</v>
      </c>
      <c r="B213" s="3">
        <v>1330</v>
      </c>
      <c r="C213" s="3">
        <v>9133</v>
      </c>
      <c r="D213" s="3">
        <v>0.1</v>
      </c>
      <c r="E213" s="4" t="s">
        <v>48</v>
      </c>
      <c r="F213" s="4" t="s">
        <v>108</v>
      </c>
      <c r="G213" s="4" t="s">
        <v>109</v>
      </c>
      <c r="H213" s="4" t="s">
        <v>25</v>
      </c>
      <c r="I213" s="4" t="s">
        <v>26</v>
      </c>
      <c r="J213" s="3">
        <v>4</v>
      </c>
      <c r="K213" s="3">
        <v>25</v>
      </c>
      <c r="L213" s="3">
        <v>17</v>
      </c>
      <c r="M213" s="3">
        <v>1</v>
      </c>
      <c r="N213" s="3">
        <v>4</v>
      </c>
      <c r="O213" s="3">
        <v>3</v>
      </c>
      <c r="P213" s="3">
        <f t="shared" si="0"/>
        <v>0</v>
      </c>
      <c r="Q213" s="3">
        <f t="shared" si="1"/>
        <v>80.9523809523809</v>
      </c>
      <c r="R213" s="3">
        <f t="shared" si="2"/>
        <v>14.2857142857143</v>
      </c>
      <c r="S213" s="11"/>
    </row>
    <row r="214" ht="13.5" customHeight="1" spans="1:21">
      <c r="A214" s="4" t="s">
        <v>37</v>
      </c>
      <c r="B214" s="3">
        <v>1016</v>
      </c>
      <c r="C214" s="3">
        <v>5657</v>
      </c>
      <c r="D214" s="3">
        <v>4</v>
      </c>
      <c r="E214" s="4" t="s">
        <v>33</v>
      </c>
      <c r="F214" s="4" t="s">
        <v>110</v>
      </c>
      <c r="G214" s="4" t="s">
        <v>111</v>
      </c>
      <c r="H214" s="4" t="s">
        <v>40</v>
      </c>
      <c r="I214" s="4" t="s">
        <v>26</v>
      </c>
      <c r="J214" s="3">
        <v>1</v>
      </c>
      <c r="K214" s="3">
        <v>25</v>
      </c>
      <c r="L214" s="3">
        <v>20</v>
      </c>
      <c r="M214" s="3">
        <v>5</v>
      </c>
      <c r="N214" s="3">
        <v>0</v>
      </c>
      <c r="O214" s="3">
        <v>0</v>
      </c>
      <c r="P214" s="3">
        <f t="shared" si="0"/>
        <v>0</v>
      </c>
      <c r="Q214" s="3">
        <f t="shared" si="1"/>
        <v>80</v>
      </c>
      <c r="R214" s="3">
        <f t="shared" si="2"/>
        <v>0</v>
      </c>
      <c r="S214" s="11">
        <f>AVERAGE(Q214:Q217)</f>
        <v>90.2850877192982</v>
      </c>
      <c r="T214" s="7">
        <f>AVERAGE(R214:R217)</f>
        <v>4.71491228070176</v>
      </c>
      <c r="U214" s="8">
        <f>(L214+L215+L216+L217+O214+O215+O216+O217)/(K214+K215+K216+K217)*100</f>
        <v>71</v>
      </c>
    </row>
    <row r="215" ht="13.5" customHeight="1" spans="1:19">
      <c r="A215" s="4" t="s">
        <v>37</v>
      </c>
      <c r="B215" s="3">
        <v>1016</v>
      </c>
      <c r="C215" s="3">
        <v>5657</v>
      </c>
      <c r="D215" s="3">
        <v>4</v>
      </c>
      <c r="E215" s="4" t="s">
        <v>33</v>
      </c>
      <c r="F215" s="4" t="s">
        <v>110</v>
      </c>
      <c r="G215" s="4" t="s">
        <v>111</v>
      </c>
      <c r="H215" s="4" t="s">
        <v>40</v>
      </c>
      <c r="I215" s="4" t="s">
        <v>26</v>
      </c>
      <c r="J215" s="3">
        <v>2</v>
      </c>
      <c r="K215" s="3">
        <v>25</v>
      </c>
      <c r="L215" s="3">
        <v>11</v>
      </c>
      <c r="M215" s="3">
        <v>0</v>
      </c>
      <c r="N215" s="3">
        <v>13</v>
      </c>
      <c r="O215" s="3">
        <v>1</v>
      </c>
      <c r="P215" s="3">
        <f t="shared" si="0"/>
        <v>0</v>
      </c>
      <c r="Q215" s="3">
        <f t="shared" si="1"/>
        <v>91.6666666666667</v>
      </c>
      <c r="R215" s="3">
        <f t="shared" si="2"/>
        <v>8.33333333333333</v>
      </c>
      <c r="S215" s="11"/>
    </row>
    <row r="216" ht="13.5" customHeight="1" spans="1:19">
      <c r="A216" s="4" t="s">
        <v>37</v>
      </c>
      <c r="B216" s="3">
        <v>1016</v>
      </c>
      <c r="C216" s="3">
        <v>5657</v>
      </c>
      <c r="D216" s="3">
        <v>4</v>
      </c>
      <c r="E216" s="4" t="s">
        <v>33</v>
      </c>
      <c r="F216" s="4" t="s">
        <v>110</v>
      </c>
      <c r="G216" s="4" t="s">
        <v>111</v>
      </c>
      <c r="H216" s="4" t="s">
        <v>40</v>
      </c>
      <c r="I216" s="4" t="s">
        <v>26</v>
      </c>
      <c r="J216" s="3">
        <v>3</v>
      </c>
      <c r="K216" s="3">
        <v>25</v>
      </c>
      <c r="L216" s="3">
        <v>20</v>
      </c>
      <c r="M216" s="3">
        <v>0</v>
      </c>
      <c r="N216" s="3">
        <v>5</v>
      </c>
      <c r="O216" s="3">
        <v>0</v>
      </c>
      <c r="P216" s="3">
        <f t="shared" si="0"/>
        <v>0</v>
      </c>
      <c r="Q216" s="3">
        <f t="shared" si="1"/>
        <v>100</v>
      </c>
      <c r="R216" s="3">
        <f t="shared" si="2"/>
        <v>0</v>
      </c>
      <c r="S216" s="11"/>
    </row>
    <row r="217" ht="13.5" customHeight="1" spans="1:19">
      <c r="A217" s="4" t="s">
        <v>37</v>
      </c>
      <c r="B217" s="3">
        <v>1016</v>
      </c>
      <c r="C217" s="3">
        <v>5657</v>
      </c>
      <c r="D217" s="3">
        <v>4</v>
      </c>
      <c r="E217" s="4" t="s">
        <v>33</v>
      </c>
      <c r="F217" s="4" t="s">
        <v>110</v>
      </c>
      <c r="G217" s="4" t="s">
        <v>111</v>
      </c>
      <c r="H217" s="4" t="s">
        <v>40</v>
      </c>
      <c r="I217" s="4" t="s">
        <v>26</v>
      </c>
      <c r="J217" s="3">
        <v>4</v>
      </c>
      <c r="K217" s="3">
        <v>25</v>
      </c>
      <c r="L217" s="3">
        <v>17</v>
      </c>
      <c r="M217" s="3">
        <v>0</v>
      </c>
      <c r="N217" s="3">
        <v>6</v>
      </c>
      <c r="O217" s="3">
        <v>2</v>
      </c>
      <c r="P217" s="3">
        <f t="shared" si="0"/>
        <v>0</v>
      </c>
      <c r="Q217" s="3">
        <f t="shared" si="1"/>
        <v>89.4736842105263</v>
      </c>
      <c r="R217" s="3">
        <f t="shared" si="2"/>
        <v>10.5263157894737</v>
      </c>
      <c r="S217" s="11"/>
    </row>
    <row r="218" ht="13.5" customHeight="1" spans="1:21">
      <c r="A218" s="4" t="s">
        <v>27</v>
      </c>
      <c r="B218" s="3">
        <v>1204</v>
      </c>
      <c r="C218" s="3">
        <v>7100</v>
      </c>
      <c r="D218" s="3">
        <v>0.1</v>
      </c>
      <c r="E218" s="4" t="s">
        <v>22</v>
      </c>
      <c r="F218" s="4" t="s">
        <v>112</v>
      </c>
      <c r="G218" s="3" t="s">
        <v>113</v>
      </c>
      <c r="H218" s="4" t="s">
        <v>25</v>
      </c>
      <c r="I218" s="4" t="s">
        <v>26</v>
      </c>
      <c r="J218" s="3">
        <v>1</v>
      </c>
      <c r="K218" s="3">
        <v>25</v>
      </c>
      <c r="L218" s="3">
        <v>12</v>
      </c>
      <c r="M218" s="3">
        <v>4</v>
      </c>
      <c r="N218" s="3">
        <v>0</v>
      </c>
      <c r="O218" s="3">
        <v>9</v>
      </c>
      <c r="P218" s="3">
        <f t="shared" si="0"/>
        <v>0</v>
      </c>
      <c r="Q218" s="3">
        <f t="shared" si="1"/>
        <v>48</v>
      </c>
      <c r="R218" s="3">
        <f t="shared" si="2"/>
        <v>36</v>
      </c>
      <c r="S218" s="11">
        <f>AVERAGE(Q218:Q221)</f>
        <v>63</v>
      </c>
      <c r="T218" s="7">
        <f>AVERAGE(R218:R221)</f>
        <v>25</v>
      </c>
      <c r="U218" s="8">
        <f>(L218+L219+L220+L221+O218+O219+O220+O221)/(K218+K219+K220+K221)*100</f>
        <v>88</v>
      </c>
    </row>
    <row r="219" ht="13.5" customHeight="1" spans="1:19">
      <c r="A219" s="4" t="s">
        <v>27</v>
      </c>
      <c r="B219" s="3">
        <v>1204</v>
      </c>
      <c r="C219" s="3">
        <v>7100</v>
      </c>
      <c r="D219" s="3">
        <v>0.1</v>
      </c>
      <c r="E219" s="4" t="s">
        <v>22</v>
      </c>
      <c r="F219" s="4" t="s">
        <v>112</v>
      </c>
      <c r="G219" s="3" t="s">
        <v>113</v>
      </c>
      <c r="H219" s="4" t="s">
        <v>25</v>
      </c>
      <c r="I219" s="4" t="s">
        <v>26</v>
      </c>
      <c r="J219" s="3">
        <v>2</v>
      </c>
      <c r="K219" s="3">
        <v>25</v>
      </c>
      <c r="L219" s="3">
        <v>21</v>
      </c>
      <c r="M219" s="3">
        <v>2</v>
      </c>
      <c r="N219" s="3">
        <v>0</v>
      </c>
      <c r="O219" s="3">
        <v>2</v>
      </c>
      <c r="P219" s="3">
        <f t="shared" si="0"/>
        <v>0</v>
      </c>
      <c r="Q219" s="3">
        <f t="shared" si="1"/>
        <v>84</v>
      </c>
      <c r="R219" s="3">
        <f t="shared" si="2"/>
        <v>8</v>
      </c>
      <c r="S219" s="11"/>
    </row>
    <row r="220" ht="13.5" customHeight="1" spans="1:19">
      <c r="A220" s="4" t="s">
        <v>27</v>
      </c>
      <c r="B220" s="3">
        <v>1204</v>
      </c>
      <c r="C220" s="3">
        <v>7100</v>
      </c>
      <c r="D220" s="3">
        <v>0.1</v>
      </c>
      <c r="E220" s="4" t="s">
        <v>22</v>
      </c>
      <c r="F220" s="4" t="s">
        <v>112</v>
      </c>
      <c r="G220" s="3" t="s">
        <v>113</v>
      </c>
      <c r="H220" s="4" t="s">
        <v>25</v>
      </c>
      <c r="I220" s="4" t="s">
        <v>26</v>
      </c>
      <c r="J220" s="3">
        <v>3</v>
      </c>
      <c r="K220" s="3">
        <v>25</v>
      </c>
      <c r="L220" s="3">
        <v>18</v>
      </c>
      <c r="M220" s="3">
        <v>2</v>
      </c>
      <c r="N220" s="3">
        <v>0</v>
      </c>
      <c r="O220" s="3">
        <v>5</v>
      </c>
      <c r="P220" s="3">
        <f t="shared" si="0"/>
        <v>0</v>
      </c>
      <c r="Q220" s="3">
        <f t="shared" si="1"/>
        <v>72</v>
      </c>
      <c r="R220" s="3">
        <f t="shared" si="2"/>
        <v>20</v>
      </c>
      <c r="S220" s="11"/>
    </row>
    <row r="221" ht="13.5" customHeight="1" spans="1:19">
      <c r="A221" s="4" t="s">
        <v>27</v>
      </c>
      <c r="B221" s="3">
        <v>1204</v>
      </c>
      <c r="C221" s="3">
        <v>7100</v>
      </c>
      <c r="D221" s="3">
        <v>0.1</v>
      </c>
      <c r="E221" s="4" t="s">
        <v>22</v>
      </c>
      <c r="F221" s="4" t="s">
        <v>112</v>
      </c>
      <c r="G221" s="3" t="s">
        <v>113</v>
      </c>
      <c r="H221" s="4" t="s">
        <v>25</v>
      </c>
      <c r="I221" s="4" t="s">
        <v>26</v>
      </c>
      <c r="J221" s="3">
        <v>4</v>
      </c>
      <c r="K221" s="3">
        <v>25</v>
      </c>
      <c r="L221" s="3">
        <v>12</v>
      </c>
      <c r="M221" s="3">
        <v>4</v>
      </c>
      <c r="N221" s="3">
        <v>0</v>
      </c>
      <c r="O221" s="3">
        <v>9</v>
      </c>
      <c r="P221" s="3">
        <f t="shared" si="0"/>
        <v>0</v>
      </c>
      <c r="Q221" s="3">
        <f t="shared" si="1"/>
        <v>48</v>
      </c>
      <c r="R221" s="3">
        <f t="shared" si="2"/>
        <v>36</v>
      </c>
      <c r="S221" s="11"/>
    </row>
    <row r="222" ht="13.5" customHeight="1" spans="1:21">
      <c r="A222" s="4" t="s">
        <v>91</v>
      </c>
      <c r="B222" s="3">
        <v>1007</v>
      </c>
      <c r="C222" s="3">
        <v>4939</v>
      </c>
      <c r="D222" s="3">
        <v>0.1</v>
      </c>
      <c r="E222" s="4" t="s">
        <v>33</v>
      </c>
      <c r="F222" s="4" t="s">
        <v>110</v>
      </c>
      <c r="G222" s="4" t="s">
        <v>111</v>
      </c>
      <c r="H222" s="4" t="s">
        <v>40</v>
      </c>
      <c r="I222" s="4" t="s">
        <v>26</v>
      </c>
      <c r="J222" s="3">
        <v>1</v>
      </c>
      <c r="K222" s="3">
        <v>25</v>
      </c>
      <c r="L222" s="3">
        <v>9</v>
      </c>
      <c r="M222" s="3">
        <v>0</v>
      </c>
      <c r="N222" s="3">
        <v>15</v>
      </c>
      <c r="O222" s="3">
        <v>1</v>
      </c>
      <c r="P222" s="3">
        <f t="shared" si="0"/>
        <v>0</v>
      </c>
      <c r="Q222" s="3">
        <f t="shared" si="1"/>
        <v>90</v>
      </c>
      <c r="R222" s="3">
        <f t="shared" si="2"/>
        <v>10</v>
      </c>
      <c r="S222" s="11">
        <f>AVERAGE(Q222:Q225)</f>
        <v>85.2164502164502</v>
      </c>
      <c r="T222" s="7">
        <f>AVERAGE(R222:R225)</f>
        <v>14.7835497835498</v>
      </c>
      <c r="U222" s="8">
        <f>(L222+L223+L224+L225+O222+O223+O224+O225)/(K222+K223+K224+K225)*100</f>
        <v>34</v>
      </c>
    </row>
    <row r="223" ht="13.5" customHeight="1" spans="1:19">
      <c r="A223" s="4" t="s">
        <v>91</v>
      </c>
      <c r="B223" s="3">
        <v>1007</v>
      </c>
      <c r="C223" s="3">
        <v>4939</v>
      </c>
      <c r="D223" s="3">
        <v>0.1</v>
      </c>
      <c r="E223" s="4" t="s">
        <v>33</v>
      </c>
      <c r="F223" s="4" t="s">
        <v>110</v>
      </c>
      <c r="G223" s="4" t="s">
        <v>111</v>
      </c>
      <c r="H223" s="4" t="s">
        <v>40</v>
      </c>
      <c r="I223" s="4" t="s">
        <v>26</v>
      </c>
      <c r="J223" s="3">
        <v>2</v>
      </c>
      <c r="K223" s="3">
        <v>25</v>
      </c>
      <c r="L223" s="3">
        <v>5</v>
      </c>
      <c r="M223" s="3">
        <v>0</v>
      </c>
      <c r="N223" s="3">
        <v>19</v>
      </c>
      <c r="O223" s="3">
        <v>1</v>
      </c>
      <c r="P223" s="3">
        <f t="shared" si="0"/>
        <v>0</v>
      </c>
      <c r="Q223" s="3">
        <f t="shared" si="1"/>
        <v>83.3333333333333</v>
      </c>
      <c r="R223" s="3">
        <f t="shared" si="2"/>
        <v>16.6666666666667</v>
      </c>
      <c r="S223" s="11"/>
    </row>
    <row r="224" ht="13.5" customHeight="1" spans="1:19">
      <c r="A224" s="4" t="s">
        <v>91</v>
      </c>
      <c r="B224" s="3">
        <v>1007</v>
      </c>
      <c r="C224" s="3">
        <v>4939</v>
      </c>
      <c r="D224" s="3">
        <v>0.1</v>
      </c>
      <c r="E224" s="4" t="s">
        <v>33</v>
      </c>
      <c r="F224" s="4" t="s">
        <v>110</v>
      </c>
      <c r="G224" s="4" t="s">
        <v>111</v>
      </c>
      <c r="H224" s="4" t="s">
        <v>40</v>
      </c>
      <c r="I224" s="4" t="s">
        <v>26</v>
      </c>
      <c r="J224" s="3">
        <v>3</v>
      </c>
      <c r="K224" s="3">
        <v>25</v>
      </c>
      <c r="L224" s="3">
        <v>6</v>
      </c>
      <c r="M224" s="3">
        <v>0</v>
      </c>
      <c r="N224" s="3">
        <v>18</v>
      </c>
      <c r="O224" s="3">
        <v>1</v>
      </c>
      <c r="P224" s="3">
        <f t="shared" si="0"/>
        <v>0</v>
      </c>
      <c r="Q224" s="3">
        <f t="shared" si="1"/>
        <v>85.7142857142857</v>
      </c>
      <c r="R224" s="3">
        <f t="shared" si="2"/>
        <v>14.2857142857143</v>
      </c>
      <c r="S224" s="11"/>
    </row>
    <row r="225" ht="13.5" customHeight="1" spans="1:19">
      <c r="A225" s="4" t="s">
        <v>91</v>
      </c>
      <c r="B225" s="3">
        <v>1007</v>
      </c>
      <c r="C225" s="3">
        <v>4939</v>
      </c>
      <c r="D225" s="3">
        <v>0.1</v>
      </c>
      <c r="E225" s="4" t="s">
        <v>33</v>
      </c>
      <c r="F225" s="4" t="s">
        <v>110</v>
      </c>
      <c r="G225" s="4" t="s">
        <v>111</v>
      </c>
      <c r="H225" s="4" t="s">
        <v>40</v>
      </c>
      <c r="I225" s="4" t="s">
        <v>26</v>
      </c>
      <c r="J225" s="3">
        <v>4</v>
      </c>
      <c r="K225" s="3">
        <v>25</v>
      </c>
      <c r="L225" s="3">
        <v>9</v>
      </c>
      <c r="M225" s="3">
        <v>0</v>
      </c>
      <c r="N225" s="3">
        <v>14</v>
      </c>
      <c r="O225" s="3">
        <v>2</v>
      </c>
      <c r="P225" s="3">
        <f t="shared" si="0"/>
        <v>0</v>
      </c>
      <c r="Q225" s="3">
        <f t="shared" si="1"/>
        <v>81.8181818181818</v>
      </c>
      <c r="R225" s="3">
        <f t="shared" si="2"/>
        <v>18.1818181818182</v>
      </c>
      <c r="S225" s="11"/>
    </row>
    <row r="226" ht="13.5" customHeight="1" spans="1:21">
      <c r="A226" s="4" t="s">
        <v>32</v>
      </c>
      <c r="B226" s="3">
        <v>1342</v>
      </c>
      <c r="C226" s="3">
        <v>9074</v>
      </c>
      <c r="D226" s="3">
        <v>0.1</v>
      </c>
      <c r="E226" s="4" t="s">
        <v>88</v>
      </c>
      <c r="F226" s="4" t="s">
        <v>114</v>
      </c>
      <c r="G226" s="4" t="s">
        <v>115</v>
      </c>
      <c r="H226" s="4" t="s">
        <v>25</v>
      </c>
      <c r="I226" s="4" t="s">
        <v>26</v>
      </c>
      <c r="J226" s="3">
        <v>1</v>
      </c>
      <c r="K226" s="3">
        <v>25</v>
      </c>
      <c r="L226" s="3">
        <v>3</v>
      </c>
      <c r="M226" s="3">
        <v>0</v>
      </c>
      <c r="N226" s="3">
        <v>2</v>
      </c>
      <c r="O226" s="3">
        <v>20</v>
      </c>
      <c r="P226" s="3">
        <f t="shared" si="0"/>
        <v>0</v>
      </c>
      <c r="Q226" s="3">
        <f t="shared" si="1"/>
        <v>13.0434782608696</v>
      </c>
      <c r="R226" s="3">
        <f t="shared" si="2"/>
        <v>86.9565217391304</v>
      </c>
      <c r="S226" s="11">
        <f>AVERAGE(Q226:Q229)</f>
        <v>4.26086956521739</v>
      </c>
      <c r="T226" s="7">
        <f>AVERAGE(R226:R229)</f>
        <v>94.4891304347826</v>
      </c>
      <c r="U226" s="8">
        <f>(L226+L227+L228+L229+O226+O227+O228+O229)/(K226+K227+K228+K229)*100</f>
        <v>92</v>
      </c>
    </row>
    <row r="227" ht="13.5" customHeight="1" spans="1:19">
      <c r="A227" s="4" t="s">
        <v>32</v>
      </c>
      <c r="B227" s="3">
        <v>1342</v>
      </c>
      <c r="C227" s="3">
        <v>9074</v>
      </c>
      <c r="D227" s="3">
        <v>0.1</v>
      </c>
      <c r="E227" s="4" t="s">
        <v>88</v>
      </c>
      <c r="F227" s="4" t="s">
        <v>114</v>
      </c>
      <c r="G227" s="4" t="s">
        <v>115</v>
      </c>
      <c r="H227" s="4" t="s">
        <v>25</v>
      </c>
      <c r="I227" s="4" t="s">
        <v>26</v>
      </c>
      <c r="J227" s="3">
        <v>2</v>
      </c>
      <c r="K227" s="3">
        <v>25</v>
      </c>
      <c r="L227" s="3">
        <v>0</v>
      </c>
      <c r="M227" s="3">
        <v>1</v>
      </c>
      <c r="N227" s="3">
        <v>5</v>
      </c>
      <c r="O227" s="3">
        <v>19</v>
      </c>
      <c r="P227" s="3">
        <f t="shared" si="0"/>
        <v>0</v>
      </c>
      <c r="Q227" s="3">
        <f t="shared" si="1"/>
        <v>0</v>
      </c>
      <c r="R227" s="3">
        <f t="shared" si="2"/>
        <v>95</v>
      </c>
      <c r="S227" s="11"/>
    </row>
    <row r="228" ht="13.5" customHeight="1" spans="1:19">
      <c r="A228" s="4" t="s">
        <v>32</v>
      </c>
      <c r="B228" s="3">
        <v>1342</v>
      </c>
      <c r="C228" s="3">
        <v>9074</v>
      </c>
      <c r="D228" s="3">
        <v>0.1</v>
      </c>
      <c r="E228" s="4" t="s">
        <v>88</v>
      </c>
      <c r="F228" s="4" t="s">
        <v>114</v>
      </c>
      <c r="G228" s="4" t="s">
        <v>115</v>
      </c>
      <c r="H228" s="4" t="s">
        <v>25</v>
      </c>
      <c r="I228" s="4" t="s">
        <v>26</v>
      </c>
      <c r="J228" s="3">
        <v>3</v>
      </c>
      <c r="K228" s="3">
        <v>25</v>
      </c>
      <c r="L228" s="3">
        <v>0</v>
      </c>
      <c r="M228" s="3">
        <v>0</v>
      </c>
      <c r="N228" s="3">
        <v>0</v>
      </c>
      <c r="O228" s="3">
        <v>25</v>
      </c>
      <c r="P228" s="3">
        <f t="shared" si="0"/>
        <v>0</v>
      </c>
      <c r="Q228" s="3">
        <f t="shared" si="1"/>
        <v>0</v>
      </c>
      <c r="R228" s="3">
        <f t="shared" si="2"/>
        <v>100</v>
      </c>
      <c r="S228" s="11"/>
    </row>
    <row r="229" ht="13.5" customHeight="1" spans="1:19">
      <c r="A229" s="4" t="s">
        <v>32</v>
      </c>
      <c r="B229" s="3">
        <v>1342</v>
      </c>
      <c r="C229" s="3">
        <v>9074</v>
      </c>
      <c r="D229" s="3">
        <v>0.1</v>
      </c>
      <c r="E229" s="4" t="s">
        <v>88</v>
      </c>
      <c r="F229" s="4" t="s">
        <v>114</v>
      </c>
      <c r="G229" s="4" t="s">
        <v>115</v>
      </c>
      <c r="H229" s="4" t="s">
        <v>25</v>
      </c>
      <c r="I229" s="4" t="s">
        <v>26</v>
      </c>
      <c r="J229" s="3">
        <v>4</v>
      </c>
      <c r="K229" s="3">
        <v>25</v>
      </c>
      <c r="L229" s="3">
        <v>1</v>
      </c>
      <c r="M229" s="3">
        <v>0</v>
      </c>
      <c r="N229" s="3">
        <v>0</v>
      </c>
      <c r="O229" s="3">
        <v>24</v>
      </c>
      <c r="P229" s="3">
        <f t="shared" si="0"/>
        <v>0</v>
      </c>
      <c r="Q229" s="3">
        <f t="shared" si="1"/>
        <v>4</v>
      </c>
      <c r="R229" s="3">
        <f t="shared" si="2"/>
        <v>96</v>
      </c>
      <c r="S229" s="11"/>
    </row>
    <row r="230" ht="13.5" customHeight="1" spans="1:21">
      <c r="A230" s="4" t="s">
        <v>63</v>
      </c>
      <c r="B230" s="3">
        <v>1020</v>
      </c>
      <c r="C230" s="3">
        <v>5331</v>
      </c>
      <c r="D230" s="3">
        <v>0.1</v>
      </c>
      <c r="E230" s="4" t="s">
        <v>22</v>
      </c>
      <c r="F230" s="4" t="s">
        <v>116</v>
      </c>
      <c r="G230" s="4" t="s">
        <v>116</v>
      </c>
      <c r="H230" s="4" t="s">
        <v>40</v>
      </c>
      <c r="I230" s="4" t="s">
        <v>26</v>
      </c>
      <c r="J230" s="3">
        <v>1</v>
      </c>
      <c r="K230" s="3">
        <v>25</v>
      </c>
      <c r="L230" s="3">
        <v>12</v>
      </c>
      <c r="M230" s="3">
        <v>0</v>
      </c>
      <c r="N230" s="3">
        <v>0</v>
      </c>
      <c r="O230" s="3">
        <v>13</v>
      </c>
      <c r="P230" s="3">
        <f t="shared" si="0"/>
        <v>0</v>
      </c>
      <c r="Q230" s="3">
        <f t="shared" si="1"/>
        <v>48</v>
      </c>
      <c r="R230" s="3">
        <f t="shared" si="2"/>
        <v>52</v>
      </c>
      <c r="S230" s="11">
        <f>AVERAGE(Q230:Q233)</f>
        <v>49.679347826087</v>
      </c>
      <c r="T230" s="7">
        <f>AVERAGE(R230:R233)</f>
        <v>48.1920289855072</v>
      </c>
      <c r="U230" s="8">
        <f>(L230+L231+L232+L233+O230+O231+O232+O233)/(K230+K231+K232+K233)*100</f>
        <v>95</v>
      </c>
    </row>
    <row r="231" ht="13.5" customHeight="1" spans="1:19">
      <c r="A231" s="4" t="s">
        <v>63</v>
      </c>
      <c r="B231" s="3">
        <v>1020</v>
      </c>
      <c r="C231" s="3">
        <v>5331</v>
      </c>
      <c r="D231" s="3">
        <v>0.1</v>
      </c>
      <c r="E231" s="4" t="s">
        <v>22</v>
      </c>
      <c r="F231" s="4" t="s">
        <v>116</v>
      </c>
      <c r="G231" s="4" t="s">
        <v>116</v>
      </c>
      <c r="H231" s="4" t="s">
        <v>40</v>
      </c>
      <c r="I231" s="4" t="s">
        <v>26</v>
      </c>
      <c r="J231" s="3">
        <v>2</v>
      </c>
      <c r="K231" s="3">
        <v>25</v>
      </c>
      <c r="L231" s="3">
        <v>15</v>
      </c>
      <c r="M231" s="3">
        <v>1</v>
      </c>
      <c r="N231" s="3">
        <v>2</v>
      </c>
      <c r="O231" s="3">
        <v>7</v>
      </c>
      <c r="P231" s="3">
        <f t="shared" si="0"/>
        <v>0</v>
      </c>
      <c r="Q231" s="3">
        <f t="shared" si="1"/>
        <v>65.2173913043478</v>
      </c>
      <c r="R231" s="3">
        <f t="shared" si="2"/>
        <v>30.4347826086957</v>
      </c>
      <c r="S231" s="11"/>
    </row>
    <row r="232" ht="13.5" customHeight="1" spans="1:19">
      <c r="A232" s="4" t="s">
        <v>63</v>
      </c>
      <c r="B232" s="3">
        <v>1020</v>
      </c>
      <c r="C232" s="3">
        <v>5331</v>
      </c>
      <c r="D232" s="3">
        <v>0.1</v>
      </c>
      <c r="E232" s="4" t="s">
        <v>22</v>
      </c>
      <c r="F232" s="4" t="s">
        <v>116</v>
      </c>
      <c r="G232" s="4" t="s">
        <v>116</v>
      </c>
      <c r="H232" s="4" t="s">
        <v>40</v>
      </c>
      <c r="I232" s="4" t="s">
        <v>26</v>
      </c>
      <c r="J232" s="3">
        <v>3</v>
      </c>
      <c r="K232" s="3">
        <v>25</v>
      </c>
      <c r="L232" s="3">
        <v>9</v>
      </c>
      <c r="M232" s="3">
        <v>1</v>
      </c>
      <c r="N232" s="3">
        <v>1</v>
      </c>
      <c r="O232" s="3">
        <v>14</v>
      </c>
      <c r="P232" s="3">
        <f t="shared" si="0"/>
        <v>0</v>
      </c>
      <c r="Q232" s="3">
        <f t="shared" si="1"/>
        <v>37.5</v>
      </c>
      <c r="R232" s="3">
        <f t="shared" si="2"/>
        <v>58.3333333333333</v>
      </c>
      <c r="S232" s="11"/>
    </row>
    <row r="233" ht="13.5" customHeight="1" spans="1:19">
      <c r="A233" s="4" t="s">
        <v>63</v>
      </c>
      <c r="B233" s="3">
        <v>1020</v>
      </c>
      <c r="C233" s="3">
        <v>5331</v>
      </c>
      <c r="D233" s="3">
        <v>0.1</v>
      </c>
      <c r="E233" s="4" t="s">
        <v>22</v>
      </c>
      <c r="F233" s="4" t="s">
        <v>116</v>
      </c>
      <c r="G233" s="4" t="s">
        <v>116</v>
      </c>
      <c r="H233" s="4" t="s">
        <v>40</v>
      </c>
      <c r="I233" s="4" t="s">
        <v>26</v>
      </c>
      <c r="J233" s="3">
        <v>4</v>
      </c>
      <c r="K233" s="3">
        <v>25</v>
      </c>
      <c r="L233" s="3">
        <v>12</v>
      </c>
      <c r="M233" s="3">
        <v>0</v>
      </c>
      <c r="N233" s="3">
        <v>0</v>
      </c>
      <c r="O233" s="3">
        <v>13</v>
      </c>
      <c r="P233" s="3">
        <f t="shared" si="0"/>
        <v>0</v>
      </c>
      <c r="Q233" s="3">
        <f t="shared" si="1"/>
        <v>48</v>
      </c>
      <c r="R233" s="3">
        <f t="shared" si="2"/>
        <v>52</v>
      </c>
      <c r="S233" s="11"/>
    </row>
    <row r="234" ht="13.5" customHeight="1" spans="1:21">
      <c r="A234" s="4" t="s">
        <v>117</v>
      </c>
      <c r="B234" s="3">
        <v>1001</v>
      </c>
      <c r="C234" s="3">
        <v>4887</v>
      </c>
      <c r="D234" s="3">
        <v>0.1</v>
      </c>
      <c r="E234" s="4" t="s">
        <v>33</v>
      </c>
      <c r="F234" s="4" t="s">
        <v>110</v>
      </c>
      <c r="G234" s="4" t="s">
        <v>111</v>
      </c>
      <c r="H234" s="4" t="s">
        <v>40</v>
      </c>
      <c r="I234" s="4" t="s">
        <v>26</v>
      </c>
      <c r="J234" s="3">
        <v>1</v>
      </c>
      <c r="K234" s="3">
        <v>25</v>
      </c>
      <c r="L234" s="3">
        <v>6</v>
      </c>
      <c r="M234" s="3">
        <v>0</v>
      </c>
      <c r="N234" s="3">
        <v>11</v>
      </c>
      <c r="O234" s="3">
        <v>8</v>
      </c>
      <c r="P234" s="3">
        <f t="shared" si="0"/>
        <v>0</v>
      </c>
      <c r="Q234" s="3">
        <f t="shared" si="1"/>
        <v>42.8571428571429</v>
      </c>
      <c r="R234" s="3">
        <f t="shared" si="2"/>
        <v>57.1428571428571</v>
      </c>
      <c r="S234" s="11">
        <f>AVERAGE(Q234:Q237)</f>
        <v>67.8571428571429</v>
      </c>
      <c r="T234" s="7">
        <f>AVERAGE(R234:R237)</f>
        <v>21.4285714285714</v>
      </c>
      <c r="U234" s="8">
        <f>(L234+L235+L236+L237+O234+O235+O236+O237)/(K234+K235+K236+K237)*100</f>
        <v>22</v>
      </c>
    </row>
    <row r="235" ht="13.5" customHeight="1" spans="1:19">
      <c r="A235" s="4" t="s">
        <v>117</v>
      </c>
      <c r="B235" s="3">
        <v>1001</v>
      </c>
      <c r="C235" s="3">
        <v>4887</v>
      </c>
      <c r="D235" s="3">
        <v>0.1</v>
      </c>
      <c r="E235" s="4" t="s">
        <v>33</v>
      </c>
      <c r="F235" s="4" t="s">
        <v>110</v>
      </c>
      <c r="G235" s="4" t="s">
        <v>111</v>
      </c>
      <c r="H235" s="4" t="s">
        <v>40</v>
      </c>
      <c r="I235" s="4" t="s">
        <v>26</v>
      </c>
      <c r="J235" s="3">
        <v>2</v>
      </c>
      <c r="K235" s="3">
        <v>25</v>
      </c>
      <c r="L235" s="3">
        <v>2</v>
      </c>
      <c r="M235" s="3">
        <v>3</v>
      </c>
      <c r="N235" s="3">
        <v>18</v>
      </c>
      <c r="O235" s="3">
        <v>2</v>
      </c>
      <c r="P235" s="3">
        <f t="shared" si="0"/>
        <v>0</v>
      </c>
      <c r="Q235" s="3">
        <f t="shared" si="1"/>
        <v>28.5714285714286</v>
      </c>
      <c r="R235" s="3">
        <f t="shared" si="2"/>
        <v>28.5714285714286</v>
      </c>
      <c r="S235" s="11"/>
    </row>
    <row r="236" ht="13.5" customHeight="1" spans="1:19">
      <c r="A236" s="4" t="s">
        <v>117</v>
      </c>
      <c r="B236" s="3">
        <v>1001</v>
      </c>
      <c r="C236" s="3">
        <v>4887</v>
      </c>
      <c r="D236" s="3">
        <v>0.1</v>
      </c>
      <c r="E236" s="4" t="s">
        <v>33</v>
      </c>
      <c r="F236" s="4" t="s">
        <v>110</v>
      </c>
      <c r="G236" s="4" t="s">
        <v>111</v>
      </c>
      <c r="H236" s="4" t="s">
        <v>40</v>
      </c>
      <c r="I236" s="4" t="s">
        <v>26</v>
      </c>
      <c r="J236" s="3">
        <v>3</v>
      </c>
      <c r="K236" s="3">
        <v>25</v>
      </c>
      <c r="L236" s="3">
        <v>3</v>
      </c>
      <c r="M236" s="3">
        <v>0</v>
      </c>
      <c r="N236" s="3">
        <v>22</v>
      </c>
      <c r="O236" s="3">
        <v>0</v>
      </c>
      <c r="P236" s="3">
        <f t="shared" si="0"/>
        <v>0</v>
      </c>
      <c r="Q236" s="3">
        <f t="shared" si="1"/>
        <v>100</v>
      </c>
      <c r="R236" s="3">
        <f t="shared" si="2"/>
        <v>0</v>
      </c>
      <c r="S236" s="11"/>
    </row>
    <row r="237" ht="13.5" customHeight="1" spans="1:19">
      <c r="A237" s="4" t="s">
        <v>117</v>
      </c>
      <c r="B237" s="3">
        <v>1001</v>
      </c>
      <c r="C237" s="3">
        <v>4887</v>
      </c>
      <c r="D237" s="3">
        <v>0.1</v>
      </c>
      <c r="E237" s="4" t="s">
        <v>33</v>
      </c>
      <c r="F237" s="4" t="s">
        <v>110</v>
      </c>
      <c r="G237" s="4" t="s">
        <v>111</v>
      </c>
      <c r="H237" s="4" t="s">
        <v>40</v>
      </c>
      <c r="I237" s="4" t="s">
        <v>26</v>
      </c>
      <c r="J237" s="3">
        <v>4</v>
      </c>
      <c r="K237" s="3">
        <v>25</v>
      </c>
      <c r="L237" s="3">
        <v>1</v>
      </c>
      <c r="M237" s="3">
        <v>0</v>
      </c>
      <c r="N237" s="3">
        <v>24</v>
      </c>
      <c r="O237" s="3">
        <v>0</v>
      </c>
      <c r="P237" s="3">
        <f t="shared" si="0"/>
        <v>0</v>
      </c>
      <c r="Q237" s="3">
        <f t="shared" si="1"/>
        <v>100</v>
      </c>
      <c r="R237" s="3">
        <f t="shared" si="2"/>
        <v>0</v>
      </c>
      <c r="S237" s="11"/>
    </row>
    <row r="238" ht="13.5" customHeight="1" spans="1:21">
      <c r="A238" s="4" t="s">
        <v>46</v>
      </c>
      <c r="B238" s="3">
        <v>1270</v>
      </c>
      <c r="C238" s="3">
        <v>8757</v>
      </c>
      <c r="D238" s="3">
        <v>0.1</v>
      </c>
      <c r="E238" s="4" t="s">
        <v>88</v>
      </c>
      <c r="F238" s="4" t="s">
        <v>114</v>
      </c>
      <c r="G238" s="4" t="s">
        <v>115</v>
      </c>
      <c r="H238" s="4" t="s">
        <v>25</v>
      </c>
      <c r="I238" s="4" t="s">
        <v>26</v>
      </c>
      <c r="J238" s="3">
        <v>1</v>
      </c>
      <c r="K238" s="3">
        <v>20</v>
      </c>
      <c r="L238" s="3">
        <v>0</v>
      </c>
      <c r="M238" s="3">
        <v>6</v>
      </c>
      <c r="N238" s="3">
        <v>1</v>
      </c>
      <c r="O238" s="3">
        <v>13</v>
      </c>
      <c r="P238" s="3">
        <f t="shared" si="0"/>
        <v>0</v>
      </c>
      <c r="Q238" s="3">
        <f t="shared" si="1"/>
        <v>0</v>
      </c>
      <c r="R238" s="3">
        <f t="shared" si="2"/>
        <v>68.4210526315789</v>
      </c>
      <c r="S238" s="11">
        <f>AVERAGE(Q238:Q241)</f>
        <v>0</v>
      </c>
      <c r="T238" s="7">
        <f>AVERAGE(R238:R241)</f>
        <v>50.6578947368421</v>
      </c>
      <c r="U238" s="8">
        <f>(L238+L239+L240+L241+O238+O239+O240+O241)/(K238+K239+K240+K241)*100</f>
        <v>48.75</v>
      </c>
    </row>
    <row r="239" ht="13.5" customHeight="1" spans="1:19">
      <c r="A239" s="4" t="s">
        <v>46</v>
      </c>
      <c r="B239" s="3">
        <v>1270</v>
      </c>
      <c r="C239" s="3">
        <v>8757</v>
      </c>
      <c r="D239" s="3">
        <v>0.1</v>
      </c>
      <c r="E239" s="4" t="s">
        <v>88</v>
      </c>
      <c r="F239" s="4" t="s">
        <v>114</v>
      </c>
      <c r="G239" s="4" t="s">
        <v>115</v>
      </c>
      <c r="H239" s="4" t="s">
        <v>25</v>
      </c>
      <c r="I239" s="4" t="s">
        <v>26</v>
      </c>
      <c r="J239" s="3">
        <v>2</v>
      </c>
      <c r="K239" s="3">
        <v>20</v>
      </c>
      <c r="L239" s="3">
        <v>0</v>
      </c>
      <c r="M239" s="3">
        <v>10</v>
      </c>
      <c r="N239" s="3">
        <v>1</v>
      </c>
      <c r="O239" s="3">
        <v>9</v>
      </c>
      <c r="P239" s="3">
        <f t="shared" si="0"/>
        <v>0</v>
      </c>
      <c r="Q239" s="3">
        <f t="shared" si="1"/>
        <v>0</v>
      </c>
      <c r="R239" s="3">
        <f t="shared" si="2"/>
        <v>47.3684210526316</v>
      </c>
      <c r="S239" s="11"/>
    </row>
    <row r="240" ht="13.5" customHeight="1" spans="1:19">
      <c r="A240" s="4" t="s">
        <v>46</v>
      </c>
      <c r="B240" s="3">
        <v>1270</v>
      </c>
      <c r="C240" s="3">
        <v>8757</v>
      </c>
      <c r="D240" s="3">
        <v>0.1</v>
      </c>
      <c r="E240" s="4" t="s">
        <v>88</v>
      </c>
      <c r="F240" s="4" t="s">
        <v>114</v>
      </c>
      <c r="G240" s="4" t="s">
        <v>115</v>
      </c>
      <c r="H240" s="4" t="s">
        <v>25</v>
      </c>
      <c r="I240" s="4" t="s">
        <v>26</v>
      </c>
      <c r="J240" s="3">
        <v>3</v>
      </c>
      <c r="K240" s="3">
        <v>20</v>
      </c>
      <c r="L240" s="3">
        <v>0</v>
      </c>
      <c r="M240" s="3">
        <v>12</v>
      </c>
      <c r="N240" s="3">
        <v>1</v>
      </c>
      <c r="O240" s="3">
        <v>7</v>
      </c>
      <c r="P240" s="3">
        <f t="shared" si="0"/>
        <v>0</v>
      </c>
      <c r="Q240" s="3">
        <f t="shared" si="1"/>
        <v>0</v>
      </c>
      <c r="R240" s="3">
        <f t="shared" si="2"/>
        <v>36.8421052631579</v>
      </c>
      <c r="S240" s="11"/>
    </row>
    <row r="241" ht="13.5" customHeight="1" spans="1:19">
      <c r="A241" s="4" t="s">
        <v>46</v>
      </c>
      <c r="B241" s="3">
        <v>1270</v>
      </c>
      <c r="C241" s="3">
        <v>8757</v>
      </c>
      <c r="D241" s="3">
        <v>0.1</v>
      </c>
      <c r="E241" s="4" t="s">
        <v>88</v>
      </c>
      <c r="F241" s="4" t="s">
        <v>114</v>
      </c>
      <c r="G241" s="4" t="s">
        <v>115</v>
      </c>
      <c r="H241" s="4" t="s">
        <v>25</v>
      </c>
      <c r="I241" s="4" t="s">
        <v>26</v>
      </c>
      <c r="J241" s="3">
        <v>4</v>
      </c>
      <c r="K241" s="3">
        <v>20</v>
      </c>
      <c r="L241" s="3">
        <v>0</v>
      </c>
      <c r="M241" s="3">
        <v>10</v>
      </c>
      <c r="N241" s="3">
        <v>0</v>
      </c>
      <c r="O241" s="3">
        <v>10</v>
      </c>
      <c r="P241" s="3">
        <f t="shared" si="0"/>
        <v>0</v>
      </c>
      <c r="Q241" s="3">
        <f t="shared" si="1"/>
        <v>0</v>
      </c>
      <c r="R241" s="3">
        <f t="shared" si="2"/>
        <v>50</v>
      </c>
      <c r="S241" s="11"/>
    </row>
    <row r="242" ht="13.5" customHeight="1" spans="1:21">
      <c r="A242" s="4" t="s">
        <v>66</v>
      </c>
      <c r="B242" s="3">
        <v>1153</v>
      </c>
      <c r="C242" s="3">
        <v>7684</v>
      </c>
      <c r="D242" s="3">
        <v>0.1</v>
      </c>
      <c r="E242" s="4" t="s">
        <v>22</v>
      </c>
      <c r="F242" s="4" t="s">
        <v>51</v>
      </c>
      <c r="G242" s="4" t="s">
        <v>51</v>
      </c>
      <c r="H242" s="4" t="s">
        <v>25</v>
      </c>
      <c r="I242" s="4" t="s">
        <v>26</v>
      </c>
      <c r="J242" s="3">
        <v>1</v>
      </c>
      <c r="K242" s="3">
        <v>25</v>
      </c>
      <c r="L242" s="3">
        <v>24</v>
      </c>
      <c r="M242" s="3">
        <v>0</v>
      </c>
      <c r="N242" s="3">
        <v>0</v>
      </c>
      <c r="O242" s="3">
        <v>1</v>
      </c>
      <c r="P242" s="3">
        <f t="shared" si="0"/>
        <v>0</v>
      </c>
      <c r="Q242" s="3">
        <f t="shared" si="1"/>
        <v>96</v>
      </c>
      <c r="R242" s="3">
        <f t="shared" si="2"/>
        <v>4</v>
      </c>
      <c r="S242" s="11">
        <f>AVERAGE(Q242:Q245)</f>
        <v>98</v>
      </c>
      <c r="T242" s="7">
        <f>AVERAGE(R242:R245)</f>
        <v>2</v>
      </c>
      <c r="U242" s="8">
        <f>(L242+L243+L244+L245+O242+O243+O244+O245)/(K242+K243+K244+K245)*100</f>
        <v>100</v>
      </c>
    </row>
    <row r="243" ht="13.5" customHeight="1" spans="1:19">
      <c r="A243" s="4" t="s">
        <v>66</v>
      </c>
      <c r="B243" s="3">
        <v>1153</v>
      </c>
      <c r="C243" s="3">
        <v>7684</v>
      </c>
      <c r="D243" s="3">
        <v>0.1</v>
      </c>
      <c r="E243" s="4" t="s">
        <v>22</v>
      </c>
      <c r="F243" s="4" t="s">
        <v>51</v>
      </c>
      <c r="G243" s="4" t="s">
        <v>51</v>
      </c>
      <c r="H243" s="4" t="s">
        <v>25</v>
      </c>
      <c r="I243" s="4" t="s">
        <v>26</v>
      </c>
      <c r="J243" s="3">
        <v>2</v>
      </c>
      <c r="K243" s="3">
        <v>25</v>
      </c>
      <c r="L243" s="3">
        <v>25</v>
      </c>
      <c r="M243" s="3">
        <v>0</v>
      </c>
      <c r="N243" s="3">
        <v>0</v>
      </c>
      <c r="O243" s="3">
        <v>0</v>
      </c>
      <c r="P243" s="3">
        <f t="shared" si="0"/>
        <v>0</v>
      </c>
      <c r="Q243" s="3">
        <f t="shared" si="1"/>
        <v>100</v>
      </c>
      <c r="R243" s="3">
        <f t="shared" si="2"/>
        <v>0</v>
      </c>
      <c r="S243" s="11"/>
    </row>
    <row r="244" ht="13.5" customHeight="1" spans="1:19">
      <c r="A244" s="4" t="s">
        <v>66</v>
      </c>
      <c r="B244" s="3">
        <v>1153</v>
      </c>
      <c r="C244" s="3">
        <v>7684</v>
      </c>
      <c r="D244" s="3">
        <v>0.1</v>
      </c>
      <c r="E244" s="4" t="s">
        <v>22</v>
      </c>
      <c r="F244" s="4" t="s">
        <v>51</v>
      </c>
      <c r="G244" s="4" t="s">
        <v>51</v>
      </c>
      <c r="H244" s="4" t="s">
        <v>25</v>
      </c>
      <c r="I244" s="4" t="s">
        <v>26</v>
      </c>
      <c r="J244" s="3">
        <v>3</v>
      </c>
      <c r="K244" s="3">
        <v>25</v>
      </c>
      <c r="L244" s="3">
        <v>24</v>
      </c>
      <c r="M244" s="3">
        <v>0</v>
      </c>
      <c r="N244" s="3">
        <v>0</v>
      </c>
      <c r="O244" s="3">
        <v>1</v>
      </c>
      <c r="P244" s="3">
        <f t="shared" si="0"/>
        <v>0</v>
      </c>
      <c r="Q244" s="3">
        <f t="shared" si="1"/>
        <v>96</v>
      </c>
      <c r="R244" s="3">
        <f t="shared" si="2"/>
        <v>4</v>
      </c>
      <c r="S244" s="11"/>
    </row>
    <row r="245" ht="13.5" customHeight="1" spans="1:19">
      <c r="A245" s="4" t="s">
        <v>66</v>
      </c>
      <c r="B245" s="3">
        <v>1153</v>
      </c>
      <c r="C245" s="3">
        <v>7684</v>
      </c>
      <c r="D245" s="3">
        <v>0.1</v>
      </c>
      <c r="E245" s="4" t="s">
        <v>22</v>
      </c>
      <c r="F245" s="4" t="s">
        <v>51</v>
      </c>
      <c r="G245" s="4" t="s">
        <v>51</v>
      </c>
      <c r="H245" s="4" t="s">
        <v>25</v>
      </c>
      <c r="I245" s="4" t="s">
        <v>26</v>
      </c>
      <c r="J245" s="3">
        <v>4</v>
      </c>
      <c r="K245" s="3">
        <v>25</v>
      </c>
      <c r="L245" s="3">
        <v>25</v>
      </c>
      <c r="M245" s="3">
        <v>0</v>
      </c>
      <c r="N245" s="3">
        <v>0</v>
      </c>
      <c r="O245" s="3">
        <v>0</v>
      </c>
      <c r="P245" s="3">
        <f t="shared" si="0"/>
        <v>0</v>
      </c>
      <c r="Q245" s="3">
        <f t="shared" si="1"/>
        <v>100</v>
      </c>
      <c r="R245" s="3">
        <f t="shared" si="2"/>
        <v>0</v>
      </c>
      <c r="S245" s="11"/>
    </row>
    <row r="246" ht="13.5" customHeight="1" spans="1:21">
      <c r="A246" s="4" t="s">
        <v>118</v>
      </c>
      <c r="B246" s="3">
        <v>1138</v>
      </c>
      <c r="C246" s="3">
        <v>7122</v>
      </c>
      <c r="D246" s="3">
        <v>0.1</v>
      </c>
      <c r="E246" s="4" t="s">
        <v>22</v>
      </c>
      <c r="F246" s="4" t="s">
        <v>51</v>
      </c>
      <c r="G246" s="4" t="s">
        <v>51</v>
      </c>
      <c r="H246" s="4" t="s">
        <v>25</v>
      </c>
      <c r="I246" s="4" t="s">
        <v>26</v>
      </c>
      <c r="J246" s="3">
        <v>1</v>
      </c>
      <c r="K246" s="3">
        <v>25</v>
      </c>
      <c r="L246" s="3">
        <v>25</v>
      </c>
      <c r="M246" s="3">
        <v>0</v>
      </c>
      <c r="N246" s="3">
        <v>0</v>
      </c>
      <c r="O246" s="3">
        <v>0</v>
      </c>
      <c r="P246" s="3">
        <f t="shared" si="0"/>
        <v>0</v>
      </c>
      <c r="Q246" s="3">
        <f t="shared" si="1"/>
        <v>100</v>
      </c>
      <c r="R246" s="3">
        <f t="shared" si="2"/>
        <v>0</v>
      </c>
      <c r="S246" s="11">
        <f>AVERAGE(Q246:Q249)</f>
        <v>100</v>
      </c>
      <c r="T246" s="7">
        <f>AVERAGE(R246:R249)</f>
        <v>0</v>
      </c>
      <c r="U246" s="8">
        <f>(L246+L247+L248+L249+O246+O247+O248+O249)/(K246+K247+K248+K249)*100</f>
        <v>100</v>
      </c>
    </row>
    <row r="247" ht="13.5" customHeight="1" spans="1:19">
      <c r="A247" s="4" t="s">
        <v>118</v>
      </c>
      <c r="B247" s="3">
        <v>1138</v>
      </c>
      <c r="C247" s="3">
        <v>7122</v>
      </c>
      <c r="D247" s="3">
        <v>0.1</v>
      </c>
      <c r="E247" s="4" t="s">
        <v>22</v>
      </c>
      <c r="F247" s="4" t="s">
        <v>51</v>
      </c>
      <c r="G247" s="4" t="s">
        <v>51</v>
      </c>
      <c r="H247" s="4" t="s">
        <v>25</v>
      </c>
      <c r="I247" s="4" t="s">
        <v>26</v>
      </c>
      <c r="J247" s="3">
        <v>2</v>
      </c>
      <c r="K247" s="3">
        <v>25</v>
      </c>
      <c r="L247" s="3">
        <v>25</v>
      </c>
      <c r="M247" s="3">
        <v>0</v>
      </c>
      <c r="N247" s="3">
        <v>0</v>
      </c>
      <c r="O247" s="3">
        <v>0</v>
      </c>
      <c r="P247" s="3">
        <f t="shared" si="0"/>
        <v>0</v>
      </c>
      <c r="Q247" s="3">
        <f t="shared" si="1"/>
        <v>100</v>
      </c>
      <c r="R247" s="3">
        <f t="shared" si="2"/>
        <v>0</v>
      </c>
      <c r="S247" s="11"/>
    </row>
    <row r="248" ht="13.5" customHeight="1" spans="1:19">
      <c r="A248" s="4" t="s">
        <v>118</v>
      </c>
      <c r="B248" s="3">
        <v>1138</v>
      </c>
      <c r="C248" s="3">
        <v>7122</v>
      </c>
      <c r="D248" s="3">
        <v>0.1</v>
      </c>
      <c r="E248" s="4" t="s">
        <v>22</v>
      </c>
      <c r="F248" s="4" t="s">
        <v>51</v>
      </c>
      <c r="G248" s="4" t="s">
        <v>51</v>
      </c>
      <c r="H248" s="4" t="s">
        <v>25</v>
      </c>
      <c r="I248" s="4" t="s">
        <v>26</v>
      </c>
      <c r="J248" s="3">
        <v>3</v>
      </c>
      <c r="K248" s="3">
        <v>25</v>
      </c>
      <c r="L248" s="3">
        <v>25</v>
      </c>
      <c r="M248" s="3">
        <v>0</v>
      </c>
      <c r="N248" s="3">
        <v>0</v>
      </c>
      <c r="O248" s="3">
        <v>0</v>
      </c>
      <c r="P248" s="3">
        <f t="shared" si="0"/>
        <v>0</v>
      </c>
      <c r="Q248" s="3">
        <f t="shared" si="1"/>
        <v>100</v>
      </c>
      <c r="R248" s="3">
        <f t="shared" si="2"/>
        <v>0</v>
      </c>
      <c r="S248" s="11"/>
    </row>
    <row r="249" ht="13.5" customHeight="1" spans="1:19">
      <c r="A249" s="4" t="s">
        <v>118</v>
      </c>
      <c r="B249" s="3">
        <v>1138</v>
      </c>
      <c r="C249" s="3">
        <v>7122</v>
      </c>
      <c r="D249" s="3">
        <v>0.1</v>
      </c>
      <c r="E249" s="4" t="s">
        <v>22</v>
      </c>
      <c r="F249" s="4" t="s">
        <v>51</v>
      </c>
      <c r="G249" s="4" t="s">
        <v>51</v>
      </c>
      <c r="H249" s="4" t="s">
        <v>25</v>
      </c>
      <c r="I249" s="4" t="s">
        <v>26</v>
      </c>
      <c r="J249" s="3">
        <v>4</v>
      </c>
      <c r="K249" s="3">
        <v>25</v>
      </c>
      <c r="L249" s="3">
        <v>25</v>
      </c>
      <c r="M249" s="3">
        <v>0</v>
      </c>
      <c r="N249" s="3">
        <v>0</v>
      </c>
      <c r="O249" s="3">
        <v>0</v>
      </c>
      <c r="P249" s="3">
        <f t="shared" si="0"/>
        <v>0</v>
      </c>
      <c r="Q249" s="3">
        <f t="shared" si="1"/>
        <v>100</v>
      </c>
      <c r="R249" s="3">
        <f t="shared" si="2"/>
        <v>0</v>
      </c>
      <c r="S249" s="11"/>
    </row>
    <row r="250" ht="13.5" customHeight="1" spans="1:21">
      <c r="A250" s="4" t="s">
        <v>32</v>
      </c>
      <c r="B250" s="3">
        <v>1342</v>
      </c>
      <c r="C250" s="3">
        <v>9074</v>
      </c>
      <c r="D250" s="3">
        <v>0.1</v>
      </c>
      <c r="E250" s="4" t="s">
        <v>22</v>
      </c>
      <c r="F250" s="4" t="s">
        <v>119</v>
      </c>
      <c r="G250" s="4" t="s">
        <v>119</v>
      </c>
      <c r="H250" s="4" t="s">
        <v>25</v>
      </c>
      <c r="I250" s="4" t="s">
        <v>26</v>
      </c>
      <c r="J250" s="3">
        <v>1</v>
      </c>
      <c r="K250" s="3">
        <v>25</v>
      </c>
      <c r="L250" s="3">
        <v>22</v>
      </c>
      <c r="M250" s="3">
        <v>1</v>
      </c>
      <c r="N250" s="3">
        <v>0</v>
      </c>
      <c r="O250" s="3">
        <v>2</v>
      </c>
      <c r="P250" s="3">
        <f t="shared" si="0"/>
        <v>0</v>
      </c>
      <c r="Q250" s="3">
        <f t="shared" si="1"/>
        <v>88</v>
      </c>
      <c r="R250" s="3">
        <f t="shared" si="2"/>
        <v>8</v>
      </c>
      <c r="S250" s="11">
        <f>AVERAGE(Q250:Q253)</f>
        <v>97</v>
      </c>
      <c r="T250" s="7">
        <f>AVERAGE(R250:R253)</f>
        <v>2</v>
      </c>
      <c r="U250" s="8">
        <f>(L250+L251+L252+L253+O250+O251+O252+O253)/(K250+K251+K252+K253)*100</f>
        <v>99</v>
      </c>
    </row>
    <row r="251" ht="13.5" customHeight="1" spans="1:19">
      <c r="A251" s="4" t="s">
        <v>32</v>
      </c>
      <c r="B251" s="3">
        <v>1342</v>
      </c>
      <c r="C251" s="3">
        <v>9074</v>
      </c>
      <c r="D251" s="3">
        <v>0.1</v>
      </c>
      <c r="E251" s="4" t="s">
        <v>22</v>
      </c>
      <c r="F251" s="4" t="s">
        <v>119</v>
      </c>
      <c r="G251" s="4" t="s">
        <v>119</v>
      </c>
      <c r="H251" s="4" t="s">
        <v>25</v>
      </c>
      <c r="I251" s="4" t="s">
        <v>26</v>
      </c>
      <c r="J251" s="3">
        <v>2</v>
      </c>
      <c r="K251" s="3">
        <v>25</v>
      </c>
      <c r="L251" s="3">
        <v>25</v>
      </c>
      <c r="M251" s="3">
        <v>0</v>
      </c>
      <c r="N251" s="3">
        <v>0</v>
      </c>
      <c r="O251" s="3">
        <v>0</v>
      </c>
      <c r="P251" s="3">
        <f t="shared" si="0"/>
        <v>0</v>
      </c>
      <c r="Q251" s="3">
        <f t="shared" si="1"/>
        <v>100</v>
      </c>
      <c r="R251" s="3">
        <f t="shared" si="2"/>
        <v>0</v>
      </c>
      <c r="S251" s="11"/>
    </row>
    <row r="252" ht="13.5" customHeight="1" spans="1:19">
      <c r="A252" s="4" t="s">
        <v>32</v>
      </c>
      <c r="B252" s="3">
        <v>1342</v>
      </c>
      <c r="C252" s="3">
        <v>9074</v>
      </c>
      <c r="D252" s="3">
        <v>0.1</v>
      </c>
      <c r="E252" s="4" t="s">
        <v>22</v>
      </c>
      <c r="F252" s="4" t="s">
        <v>119</v>
      </c>
      <c r="G252" s="4" t="s">
        <v>119</v>
      </c>
      <c r="H252" s="4" t="s">
        <v>25</v>
      </c>
      <c r="I252" s="4" t="s">
        <v>26</v>
      </c>
      <c r="J252" s="3">
        <v>3</v>
      </c>
      <c r="K252" s="3">
        <v>25</v>
      </c>
      <c r="L252" s="3">
        <v>25</v>
      </c>
      <c r="M252" s="3">
        <v>0</v>
      </c>
      <c r="N252" s="3">
        <v>0</v>
      </c>
      <c r="O252" s="3">
        <v>0</v>
      </c>
      <c r="P252" s="3">
        <f t="shared" si="0"/>
        <v>0</v>
      </c>
      <c r="Q252" s="3">
        <f t="shared" si="1"/>
        <v>100</v>
      </c>
      <c r="R252" s="3">
        <f t="shared" si="2"/>
        <v>0</v>
      </c>
      <c r="S252" s="11"/>
    </row>
    <row r="253" ht="13.5" customHeight="1" spans="1:19">
      <c r="A253" s="4" t="s">
        <v>32</v>
      </c>
      <c r="B253" s="3">
        <v>1342</v>
      </c>
      <c r="C253" s="3">
        <v>9074</v>
      </c>
      <c r="D253" s="3">
        <v>0.1</v>
      </c>
      <c r="E253" s="4" t="s">
        <v>22</v>
      </c>
      <c r="F253" s="4" t="s">
        <v>119</v>
      </c>
      <c r="G253" s="4" t="s">
        <v>119</v>
      </c>
      <c r="H253" s="4" t="s">
        <v>25</v>
      </c>
      <c r="I253" s="4" t="s">
        <v>26</v>
      </c>
      <c r="J253" s="3">
        <v>4</v>
      </c>
      <c r="K253" s="3">
        <v>25</v>
      </c>
      <c r="L253" s="3">
        <v>25</v>
      </c>
      <c r="M253" s="3">
        <v>0</v>
      </c>
      <c r="N253" s="3">
        <v>0</v>
      </c>
      <c r="O253" s="3">
        <v>0</v>
      </c>
      <c r="P253" s="3">
        <f t="shared" si="0"/>
        <v>0</v>
      </c>
      <c r="Q253" s="3">
        <f t="shared" si="1"/>
        <v>100</v>
      </c>
      <c r="R253" s="3">
        <f t="shared" si="2"/>
        <v>0</v>
      </c>
      <c r="S253" s="11"/>
    </row>
    <row r="254" ht="13.5" customHeight="1" spans="1:21">
      <c r="A254" s="4" t="s">
        <v>117</v>
      </c>
      <c r="B254" s="3">
        <v>1001</v>
      </c>
      <c r="C254" s="3">
        <v>4887</v>
      </c>
      <c r="D254" s="3">
        <v>1</v>
      </c>
      <c r="E254" s="4" t="s">
        <v>22</v>
      </c>
      <c r="F254" s="4" t="s">
        <v>119</v>
      </c>
      <c r="G254" s="4" t="s">
        <v>119</v>
      </c>
      <c r="H254" s="4" t="s">
        <v>25</v>
      </c>
      <c r="I254" s="4" t="s">
        <v>26</v>
      </c>
      <c r="J254" s="3">
        <v>1</v>
      </c>
      <c r="K254" s="3">
        <v>25</v>
      </c>
      <c r="L254" s="3">
        <v>25</v>
      </c>
      <c r="M254" s="3">
        <v>0</v>
      </c>
      <c r="N254" s="3">
        <v>0</v>
      </c>
      <c r="O254" s="3">
        <v>0</v>
      </c>
      <c r="P254" s="3">
        <f t="shared" si="0"/>
        <v>0</v>
      </c>
      <c r="Q254" s="3">
        <f t="shared" si="1"/>
        <v>100</v>
      </c>
      <c r="R254" s="3">
        <f t="shared" si="2"/>
        <v>0</v>
      </c>
      <c r="S254" s="11">
        <f>AVERAGE(Q254:Q257)</f>
        <v>94</v>
      </c>
      <c r="T254" s="7">
        <f>AVERAGE(R254:R257)</f>
        <v>6</v>
      </c>
      <c r="U254" s="8">
        <f>(L254+L255+L256+L257+O254+O255+O256+O257)/(K254+K255+K256+K257)*100</f>
        <v>100</v>
      </c>
    </row>
    <row r="255" ht="13.5" customHeight="1" spans="1:19">
      <c r="A255" s="4" t="s">
        <v>117</v>
      </c>
      <c r="B255" s="3">
        <v>1001</v>
      </c>
      <c r="C255" s="3">
        <v>4887</v>
      </c>
      <c r="D255" s="3">
        <v>1</v>
      </c>
      <c r="E255" s="4" t="s">
        <v>22</v>
      </c>
      <c r="F255" s="4" t="s">
        <v>119</v>
      </c>
      <c r="G255" s="4" t="s">
        <v>119</v>
      </c>
      <c r="H255" s="4" t="s">
        <v>25</v>
      </c>
      <c r="I255" s="4" t="s">
        <v>26</v>
      </c>
      <c r="J255" s="3">
        <v>2</v>
      </c>
      <c r="K255" s="3">
        <v>25</v>
      </c>
      <c r="L255" s="3">
        <v>23</v>
      </c>
      <c r="M255" s="3">
        <v>0</v>
      </c>
      <c r="N255" s="3">
        <v>0</v>
      </c>
      <c r="O255" s="3">
        <v>2</v>
      </c>
      <c r="P255" s="3">
        <f t="shared" si="0"/>
        <v>0</v>
      </c>
      <c r="Q255" s="3">
        <f t="shared" si="1"/>
        <v>92</v>
      </c>
      <c r="R255" s="3">
        <f t="shared" si="2"/>
        <v>8</v>
      </c>
      <c r="S255" s="11"/>
    </row>
    <row r="256" ht="13.5" customHeight="1" spans="1:19">
      <c r="A256" s="4" t="s">
        <v>117</v>
      </c>
      <c r="B256" s="3">
        <v>1001</v>
      </c>
      <c r="C256" s="3">
        <v>4887</v>
      </c>
      <c r="D256" s="3">
        <v>1</v>
      </c>
      <c r="E256" s="4" t="s">
        <v>22</v>
      </c>
      <c r="F256" s="4" t="s">
        <v>119</v>
      </c>
      <c r="G256" s="4" t="s">
        <v>119</v>
      </c>
      <c r="H256" s="4" t="s">
        <v>25</v>
      </c>
      <c r="I256" s="4" t="s">
        <v>26</v>
      </c>
      <c r="J256" s="3">
        <v>3</v>
      </c>
      <c r="K256" s="3">
        <v>25</v>
      </c>
      <c r="L256" s="3">
        <v>24</v>
      </c>
      <c r="M256" s="3">
        <v>0</v>
      </c>
      <c r="N256" s="3">
        <v>0</v>
      </c>
      <c r="O256" s="3">
        <v>1</v>
      </c>
      <c r="P256" s="3">
        <f t="shared" si="0"/>
        <v>0</v>
      </c>
      <c r="Q256" s="3">
        <f t="shared" si="1"/>
        <v>96</v>
      </c>
      <c r="R256" s="3">
        <f t="shared" si="2"/>
        <v>4</v>
      </c>
      <c r="S256" s="11"/>
    </row>
    <row r="257" ht="13.5" customHeight="1" spans="1:19">
      <c r="A257" s="4" t="s">
        <v>117</v>
      </c>
      <c r="B257" s="3">
        <v>1001</v>
      </c>
      <c r="C257" s="3">
        <v>4887</v>
      </c>
      <c r="D257" s="3">
        <v>1</v>
      </c>
      <c r="E257" s="4" t="s">
        <v>22</v>
      </c>
      <c r="F257" s="4" t="s">
        <v>119</v>
      </c>
      <c r="G257" s="4" t="s">
        <v>119</v>
      </c>
      <c r="H257" s="4" t="s">
        <v>25</v>
      </c>
      <c r="I257" s="4" t="s">
        <v>26</v>
      </c>
      <c r="J257" s="3">
        <v>4</v>
      </c>
      <c r="K257" s="3">
        <v>25</v>
      </c>
      <c r="L257" s="3">
        <v>22</v>
      </c>
      <c r="M257" s="3">
        <v>0</v>
      </c>
      <c r="N257" s="3">
        <v>0</v>
      </c>
      <c r="O257" s="3">
        <v>3</v>
      </c>
      <c r="P257" s="3">
        <f t="shared" si="0"/>
        <v>0</v>
      </c>
      <c r="Q257" s="3">
        <f t="shared" si="1"/>
        <v>88</v>
      </c>
      <c r="R257" s="3">
        <f t="shared" si="2"/>
        <v>12</v>
      </c>
      <c r="S257" s="11"/>
    </row>
    <row r="258" ht="13.5" customHeight="1" spans="1:21">
      <c r="A258" s="4" t="s">
        <v>32</v>
      </c>
      <c r="B258" s="3">
        <v>1342</v>
      </c>
      <c r="C258" s="3">
        <v>9074</v>
      </c>
      <c r="D258" s="3">
        <v>0.1</v>
      </c>
      <c r="E258" s="4" t="s">
        <v>22</v>
      </c>
      <c r="F258" s="4" t="s">
        <v>51</v>
      </c>
      <c r="G258" s="4" t="s">
        <v>51</v>
      </c>
      <c r="H258" s="4" t="s">
        <v>25</v>
      </c>
      <c r="I258" s="4" t="s">
        <v>26</v>
      </c>
      <c r="J258" s="3">
        <v>1</v>
      </c>
      <c r="K258" s="3">
        <v>25</v>
      </c>
      <c r="L258" s="3">
        <v>25</v>
      </c>
      <c r="M258" s="3">
        <v>0</v>
      </c>
      <c r="N258" s="3">
        <v>0</v>
      </c>
      <c r="O258" s="3">
        <v>0</v>
      </c>
      <c r="P258" s="3">
        <f t="shared" si="0"/>
        <v>0</v>
      </c>
      <c r="Q258" s="3">
        <f t="shared" si="1"/>
        <v>100</v>
      </c>
      <c r="R258" s="3">
        <f t="shared" si="2"/>
        <v>0</v>
      </c>
      <c r="S258" s="11">
        <f>AVERAGE(Q258:Q261)</f>
        <v>99</v>
      </c>
      <c r="T258" s="7">
        <f>AVERAGE(R258:R261)</f>
        <v>1</v>
      </c>
      <c r="U258" s="8">
        <f>(L258+L259+L260+L261+O258+O259+O260+O261)/(K258+K259+K260+K261)*100</f>
        <v>100</v>
      </c>
    </row>
    <row r="259" ht="13.5" customHeight="1" spans="1:19">
      <c r="A259" s="4" t="s">
        <v>32</v>
      </c>
      <c r="B259" s="3">
        <v>1342</v>
      </c>
      <c r="C259" s="3">
        <v>9074</v>
      </c>
      <c r="D259" s="3">
        <v>0.1</v>
      </c>
      <c r="E259" s="4" t="s">
        <v>22</v>
      </c>
      <c r="F259" s="4" t="s">
        <v>51</v>
      </c>
      <c r="G259" s="4" t="s">
        <v>51</v>
      </c>
      <c r="H259" s="4" t="s">
        <v>25</v>
      </c>
      <c r="I259" s="4" t="s">
        <v>26</v>
      </c>
      <c r="J259" s="3">
        <v>2</v>
      </c>
      <c r="K259" s="3">
        <v>25</v>
      </c>
      <c r="L259" s="3">
        <v>25</v>
      </c>
      <c r="M259" s="3">
        <v>0</v>
      </c>
      <c r="N259" s="3">
        <v>0</v>
      </c>
      <c r="O259" s="3">
        <v>0</v>
      </c>
      <c r="P259" s="3">
        <f t="shared" si="0"/>
        <v>0</v>
      </c>
      <c r="Q259" s="3">
        <f t="shared" si="1"/>
        <v>100</v>
      </c>
      <c r="R259" s="3">
        <f t="shared" si="2"/>
        <v>0</v>
      </c>
      <c r="S259" s="11"/>
    </row>
    <row r="260" ht="13.5" customHeight="1" spans="1:19">
      <c r="A260" s="4" t="s">
        <v>32</v>
      </c>
      <c r="B260" s="3">
        <v>1342</v>
      </c>
      <c r="C260" s="3">
        <v>9074</v>
      </c>
      <c r="D260" s="3">
        <v>0.1</v>
      </c>
      <c r="E260" s="4" t="s">
        <v>22</v>
      </c>
      <c r="F260" s="4" t="s">
        <v>51</v>
      </c>
      <c r="G260" s="4" t="s">
        <v>51</v>
      </c>
      <c r="H260" s="4" t="s">
        <v>25</v>
      </c>
      <c r="I260" s="4" t="s">
        <v>26</v>
      </c>
      <c r="J260" s="3">
        <v>3</v>
      </c>
      <c r="K260" s="3">
        <v>25</v>
      </c>
      <c r="L260" s="3">
        <v>25</v>
      </c>
      <c r="M260" s="3">
        <v>0</v>
      </c>
      <c r="N260" s="3">
        <v>0</v>
      </c>
      <c r="O260" s="3">
        <v>0</v>
      </c>
      <c r="P260" s="3">
        <f t="shared" si="0"/>
        <v>0</v>
      </c>
      <c r="Q260" s="3">
        <f t="shared" si="1"/>
        <v>100</v>
      </c>
      <c r="R260" s="3">
        <f t="shared" si="2"/>
        <v>0</v>
      </c>
      <c r="S260" s="11"/>
    </row>
    <row r="261" ht="13.5" customHeight="1" spans="1:19">
      <c r="A261" s="4" t="s">
        <v>32</v>
      </c>
      <c r="B261" s="3">
        <v>1342</v>
      </c>
      <c r="C261" s="3">
        <v>9074</v>
      </c>
      <c r="D261" s="3">
        <v>0.1</v>
      </c>
      <c r="E261" s="4" t="s">
        <v>22</v>
      </c>
      <c r="F261" s="4" t="s">
        <v>51</v>
      </c>
      <c r="G261" s="4" t="s">
        <v>51</v>
      </c>
      <c r="H261" s="4" t="s">
        <v>25</v>
      </c>
      <c r="I261" s="4" t="s">
        <v>26</v>
      </c>
      <c r="J261" s="3">
        <v>4</v>
      </c>
      <c r="K261" s="3">
        <v>25</v>
      </c>
      <c r="L261" s="3">
        <v>24</v>
      </c>
      <c r="M261" s="3">
        <v>0</v>
      </c>
      <c r="N261" s="3">
        <v>0</v>
      </c>
      <c r="O261" s="3">
        <v>1</v>
      </c>
      <c r="P261" s="3">
        <f t="shared" si="0"/>
        <v>0</v>
      </c>
      <c r="Q261" s="3">
        <f t="shared" si="1"/>
        <v>96</v>
      </c>
      <c r="R261" s="3">
        <f t="shared" si="2"/>
        <v>4</v>
      </c>
      <c r="S261" s="11"/>
    </row>
    <row r="262" ht="13.5" customHeight="1" spans="1:21">
      <c r="A262" s="4" t="s">
        <v>47</v>
      </c>
      <c r="B262" s="3">
        <v>1504</v>
      </c>
      <c r="C262" s="3">
        <v>9859</v>
      </c>
      <c r="D262" s="3">
        <v>0.1</v>
      </c>
      <c r="E262" s="4" t="s">
        <v>22</v>
      </c>
      <c r="F262" s="4" t="s">
        <v>51</v>
      </c>
      <c r="G262" s="4" t="s">
        <v>51</v>
      </c>
      <c r="H262" s="4" t="s">
        <v>25</v>
      </c>
      <c r="I262" s="4" t="s">
        <v>26</v>
      </c>
      <c r="J262" s="3">
        <v>1</v>
      </c>
      <c r="K262" s="3">
        <v>25</v>
      </c>
      <c r="L262" s="3">
        <v>25</v>
      </c>
      <c r="M262" s="3">
        <v>0</v>
      </c>
      <c r="N262" s="3">
        <v>0</v>
      </c>
      <c r="O262" s="3">
        <v>0</v>
      </c>
      <c r="P262" s="3">
        <f t="shared" si="0"/>
        <v>0</v>
      </c>
      <c r="Q262" s="3">
        <f t="shared" si="1"/>
        <v>100</v>
      </c>
      <c r="R262" s="3">
        <f t="shared" si="2"/>
        <v>0</v>
      </c>
      <c r="S262" s="11">
        <f>AVERAGE(Q262:Q265)</f>
        <v>100</v>
      </c>
      <c r="T262" s="7">
        <f>AVERAGE(R262:R265)</f>
        <v>0</v>
      </c>
      <c r="U262" s="8">
        <f>(L262+L263+L264+L265+O262+O263+O264+O265)/(K262+K263+K264+K265)*100</f>
        <v>100</v>
      </c>
    </row>
    <row r="263" ht="13.5" customHeight="1" spans="1:19">
      <c r="A263" s="4" t="s">
        <v>47</v>
      </c>
      <c r="B263" s="3">
        <v>1504</v>
      </c>
      <c r="C263" s="3">
        <v>9859</v>
      </c>
      <c r="D263" s="3">
        <v>0.1</v>
      </c>
      <c r="E263" s="4" t="s">
        <v>22</v>
      </c>
      <c r="F263" s="4" t="s">
        <v>51</v>
      </c>
      <c r="G263" s="4" t="s">
        <v>51</v>
      </c>
      <c r="H263" s="4" t="s">
        <v>25</v>
      </c>
      <c r="I263" s="4" t="s">
        <v>26</v>
      </c>
      <c r="J263" s="3">
        <v>2</v>
      </c>
      <c r="K263" s="3">
        <v>25</v>
      </c>
      <c r="L263" s="3">
        <v>25</v>
      </c>
      <c r="M263" s="3">
        <v>0</v>
      </c>
      <c r="N263" s="3">
        <v>0</v>
      </c>
      <c r="O263" s="3">
        <v>0</v>
      </c>
      <c r="P263" s="3">
        <f t="shared" si="0"/>
        <v>0</v>
      </c>
      <c r="Q263" s="3">
        <f t="shared" si="1"/>
        <v>100</v>
      </c>
      <c r="R263" s="3">
        <f t="shared" si="2"/>
        <v>0</v>
      </c>
      <c r="S263" s="11"/>
    </row>
    <row r="264" ht="13.5" customHeight="1" spans="1:19">
      <c r="A264" s="4" t="s">
        <v>47</v>
      </c>
      <c r="B264" s="3">
        <v>1504</v>
      </c>
      <c r="C264" s="3">
        <v>9859</v>
      </c>
      <c r="D264" s="3">
        <v>0.1</v>
      </c>
      <c r="E264" s="4" t="s">
        <v>22</v>
      </c>
      <c r="F264" s="4" t="s">
        <v>51</v>
      </c>
      <c r="G264" s="4" t="s">
        <v>51</v>
      </c>
      <c r="H264" s="4" t="s">
        <v>25</v>
      </c>
      <c r="I264" s="4" t="s">
        <v>26</v>
      </c>
      <c r="J264" s="3">
        <v>3</v>
      </c>
      <c r="K264" s="3">
        <v>25</v>
      </c>
      <c r="L264" s="3">
        <v>25</v>
      </c>
      <c r="M264" s="3">
        <v>0</v>
      </c>
      <c r="N264" s="3">
        <v>0</v>
      </c>
      <c r="O264" s="3">
        <v>0</v>
      </c>
      <c r="P264" s="3">
        <f t="shared" si="0"/>
        <v>0</v>
      </c>
      <c r="Q264" s="3">
        <f t="shared" si="1"/>
        <v>100</v>
      </c>
      <c r="R264" s="3">
        <f t="shared" si="2"/>
        <v>0</v>
      </c>
      <c r="S264" s="11"/>
    </row>
    <row r="265" ht="13.5" customHeight="1" spans="1:19">
      <c r="A265" s="4" t="s">
        <v>47</v>
      </c>
      <c r="B265" s="3">
        <v>1504</v>
      </c>
      <c r="C265" s="3">
        <v>9859</v>
      </c>
      <c r="D265" s="3">
        <v>0.1</v>
      </c>
      <c r="E265" s="4" t="s">
        <v>22</v>
      </c>
      <c r="F265" s="4" t="s">
        <v>51</v>
      </c>
      <c r="G265" s="4" t="s">
        <v>51</v>
      </c>
      <c r="H265" s="4" t="s">
        <v>25</v>
      </c>
      <c r="I265" s="4" t="s">
        <v>26</v>
      </c>
      <c r="J265" s="3">
        <v>4</v>
      </c>
      <c r="K265" s="3">
        <v>25</v>
      </c>
      <c r="L265" s="3">
        <v>25</v>
      </c>
      <c r="M265" s="3">
        <v>0</v>
      </c>
      <c r="N265" s="3">
        <v>0</v>
      </c>
      <c r="O265" s="3">
        <v>0</v>
      </c>
      <c r="P265" s="3">
        <f t="shared" si="0"/>
        <v>0</v>
      </c>
      <c r="Q265" s="3">
        <f t="shared" si="1"/>
        <v>100</v>
      </c>
      <c r="R265" s="3">
        <f t="shared" si="2"/>
        <v>0</v>
      </c>
      <c r="S265" s="11"/>
    </row>
    <row r="266" ht="13.5" customHeight="1" spans="1:21">
      <c r="A266" s="4" t="s">
        <v>36</v>
      </c>
      <c r="B266" s="3">
        <v>1294</v>
      </c>
      <c r="C266" s="3">
        <v>8842</v>
      </c>
      <c r="D266" s="3">
        <v>0.1</v>
      </c>
      <c r="E266" s="4" t="s">
        <v>22</v>
      </c>
      <c r="F266" s="4" t="s">
        <v>51</v>
      </c>
      <c r="G266" s="4" t="s">
        <v>51</v>
      </c>
      <c r="H266" s="4" t="s">
        <v>25</v>
      </c>
      <c r="I266" s="4" t="s">
        <v>26</v>
      </c>
      <c r="J266" s="3">
        <v>1</v>
      </c>
      <c r="K266" s="3">
        <v>25</v>
      </c>
      <c r="L266" s="3">
        <v>23</v>
      </c>
      <c r="M266" s="3">
        <v>0</v>
      </c>
      <c r="N266" s="3">
        <v>0</v>
      </c>
      <c r="O266" s="3">
        <v>2</v>
      </c>
      <c r="P266" s="3">
        <f t="shared" si="0"/>
        <v>0</v>
      </c>
      <c r="Q266" s="3">
        <f t="shared" si="1"/>
        <v>92</v>
      </c>
      <c r="R266" s="3">
        <f t="shared" si="2"/>
        <v>8</v>
      </c>
      <c r="S266" s="11">
        <f>AVERAGE(Q266:Q269)</f>
        <v>88</v>
      </c>
      <c r="T266" s="7">
        <f>AVERAGE(R266:R269)</f>
        <v>12</v>
      </c>
      <c r="U266" s="8">
        <f>(L266+L267+L268+L269+O266+O267+O268+O269)/(K266+K267+K268+K269)*100</f>
        <v>100</v>
      </c>
    </row>
    <row r="267" ht="13.5" customHeight="1" spans="1:19">
      <c r="A267" s="4" t="s">
        <v>36</v>
      </c>
      <c r="B267" s="3">
        <v>1294</v>
      </c>
      <c r="C267" s="3">
        <v>8842</v>
      </c>
      <c r="D267" s="3">
        <v>0.1</v>
      </c>
      <c r="E267" s="4" t="s">
        <v>22</v>
      </c>
      <c r="F267" s="4" t="s">
        <v>51</v>
      </c>
      <c r="G267" s="4" t="s">
        <v>51</v>
      </c>
      <c r="H267" s="4" t="s">
        <v>25</v>
      </c>
      <c r="I267" s="4" t="s">
        <v>26</v>
      </c>
      <c r="J267" s="3">
        <v>2</v>
      </c>
      <c r="K267" s="3">
        <v>25</v>
      </c>
      <c r="L267" s="3">
        <v>22</v>
      </c>
      <c r="M267" s="3">
        <v>0</v>
      </c>
      <c r="N267" s="3">
        <v>0</v>
      </c>
      <c r="O267" s="3">
        <v>3</v>
      </c>
      <c r="P267" s="3">
        <f t="shared" si="0"/>
        <v>0</v>
      </c>
      <c r="Q267" s="3">
        <f t="shared" si="1"/>
        <v>88</v>
      </c>
      <c r="R267" s="3">
        <f t="shared" si="2"/>
        <v>12</v>
      </c>
      <c r="S267" s="11"/>
    </row>
    <row r="268" ht="13.5" customHeight="1" spans="1:19">
      <c r="A268" s="4" t="s">
        <v>36</v>
      </c>
      <c r="B268" s="3">
        <v>1294</v>
      </c>
      <c r="C268" s="3">
        <v>8842</v>
      </c>
      <c r="D268" s="3">
        <v>0.1</v>
      </c>
      <c r="E268" s="4" t="s">
        <v>22</v>
      </c>
      <c r="F268" s="4" t="s">
        <v>51</v>
      </c>
      <c r="G268" s="4" t="s">
        <v>51</v>
      </c>
      <c r="H268" s="4" t="s">
        <v>25</v>
      </c>
      <c r="I268" s="4" t="s">
        <v>26</v>
      </c>
      <c r="J268" s="3">
        <v>3</v>
      </c>
      <c r="K268" s="3">
        <v>25</v>
      </c>
      <c r="L268" s="3">
        <v>20</v>
      </c>
      <c r="M268" s="3">
        <v>0</v>
      </c>
      <c r="N268" s="3">
        <v>0</v>
      </c>
      <c r="O268" s="3">
        <v>5</v>
      </c>
      <c r="P268" s="3">
        <f t="shared" si="0"/>
        <v>0</v>
      </c>
      <c r="Q268" s="3">
        <f t="shared" si="1"/>
        <v>80</v>
      </c>
      <c r="R268" s="3">
        <f t="shared" si="2"/>
        <v>20</v>
      </c>
      <c r="S268" s="11"/>
    </row>
    <row r="269" ht="13.5" customHeight="1" spans="1:19">
      <c r="A269" s="4" t="s">
        <v>36</v>
      </c>
      <c r="B269" s="3">
        <v>1294</v>
      </c>
      <c r="C269" s="3">
        <v>8842</v>
      </c>
      <c r="D269" s="3">
        <v>0.1</v>
      </c>
      <c r="E269" s="4" t="s">
        <v>22</v>
      </c>
      <c r="F269" s="4" t="s">
        <v>51</v>
      </c>
      <c r="G269" s="4" t="s">
        <v>51</v>
      </c>
      <c r="H269" s="4" t="s">
        <v>25</v>
      </c>
      <c r="I269" s="4" t="s">
        <v>26</v>
      </c>
      <c r="J269" s="3">
        <v>4</v>
      </c>
      <c r="K269" s="3">
        <v>25</v>
      </c>
      <c r="L269" s="3">
        <v>23</v>
      </c>
      <c r="M269" s="3">
        <v>0</v>
      </c>
      <c r="N269" s="3">
        <v>0</v>
      </c>
      <c r="O269" s="3">
        <v>2</v>
      </c>
      <c r="P269" s="3">
        <f t="shared" si="0"/>
        <v>0</v>
      </c>
      <c r="Q269" s="3">
        <f t="shared" si="1"/>
        <v>92</v>
      </c>
      <c r="R269" s="3">
        <f t="shared" si="2"/>
        <v>8</v>
      </c>
      <c r="S269" s="11"/>
    </row>
    <row r="270" ht="13.5" customHeight="1" spans="1:21">
      <c r="A270" s="4" t="s">
        <v>42</v>
      </c>
      <c r="B270" s="3">
        <v>1441</v>
      </c>
      <c r="C270" s="3">
        <v>9420</v>
      </c>
      <c r="D270" s="3">
        <v>0.1</v>
      </c>
      <c r="E270" s="4" t="s">
        <v>22</v>
      </c>
      <c r="F270" s="4" t="s">
        <v>51</v>
      </c>
      <c r="G270" s="4" t="s">
        <v>51</v>
      </c>
      <c r="H270" s="4" t="s">
        <v>25</v>
      </c>
      <c r="I270" s="4" t="s">
        <v>26</v>
      </c>
      <c r="J270" s="3">
        <v>1</v>
      </c>
      <c r="K270" s="3">
        <v>25</v>
      </c>
      <c r="L270" s="3">
        <v>25</v>
      </c>
      <c r="M270" s="3">
        <v>0</v>
      </c>
      <c r="N270" s="3">
        <v>0</v>
      </c>
      <c r="O270" s="3">
        <v>0</v>
      </c>
      <c r="P270" s="3">
        <f t="shared" si="0"/>
        <v>0</v>
      </c>
      <c r="Q270" s="3">
        <f t="shared" si="1"/>
        <v>100</v>
      </c>
      <c r="R270" s="3">
        <f t="shared" si="2"/>
        <v>0</v>
      </c>
      <c r="S270" s="11">
        <f>AVERAGE(Q270:Q273)</f>
        <v>95</v>
      </c>
      <c r="T270" s="7">
        <f>AVERAGE(R270:R273)</f>
        <v>5</v>
      </c>
      <c r="U270" s="8">
        <f>(L270+L271+L272+L273+O270+O271+O272+O273)/(K270+K271+K272+K273)*100</f>
        <v>100</v>
      </c>
    </row>
    <row r="271" ht="13.5" customHeight="1" spans="1:19">
      <c r="A271" s="4" t="s">
        <v>42</v>
      </c>
      <c r="B271" s="3">
        <v>1441</v>
      </c>
      <c r="C271" s="3">
        <v>9420</v>
      </c>
      <c r="D271" s="3">
        <v>0.1</v>
      </c>
      <c r="E271" s="4" t="s">
        <v>22</v>
      </c>
      <c r="F271" s="4" t="s">
        <v>51</v>
      </c>
      <c r="G271" s="4" t="s">
        <v>51</v>
      </c>
      <c r="H271" s="4" t="s">
        <v>25</v>
      </c>
      <c r="I271" s="4" t="s">
        <v>26</v>
      </c>
      <c r="J271" s="3">
        <v>2</v>
      </c>
      <c r="K271" s="3">
        <v>25</v>
      </c>
      <c r="L271" s="3">
        <v>22</v>
      </c>
      <c r="M271" s="3">
        <v>0</v>
      </c>
      <c r="N271" s="3">
        <v>0</v>
      </c>
      <c r="O271" s="3">
        <v>3</v>
      </c>
      <c r="P271" s="3">
        <f t="shared" si="0"/>
        <v>0</v>
      </c>
      <c r="Q271" s="3">
        <f t="shared" si="1"/>
        <v>88</v>
      </c>
      <c r="R271" s="3">
        <f t="shared" si="2"/>
        <v>12</v>
      </c>
      <c r="S271" s="11"/>
    </row>
    <row r="272" ht="13.5" customHeight="1" spans="1:19">
      <c r="A272" s="4" t="s">
        <v>42</v>
      </c>
      <c r="B272" s="3">
        <v>1441</v>
      </c>
      <c r="C272" s="3">
        <v>9420</v>
      </c>
      <c r="D272" s="3">
        <v>0.1</v>
      </c>
      <c r="E272" s="4" t="s">
        <v>22</v>
      </c>
      <c r="F272" s="4" t="s">
        <v>51</v>
      </c>
      <c r="G272" s="4" t="s">
        <v>51</v>
      </c>
      <c r="H272" s="4" t="s">
        <v>25</v>
      </c>
      <c r="I272" s="4" t="s">
        <v>26</v>
      </c>
      <c r="J272" s="3">
        <v>3</v>
      </c>
      <c r="K272" s="3">
        <v>25</v>
      </c>
      <c r="L272" s="3">
        <v>24</v>
      </c>
      <c r="M272" s="3">
        <v>0</v>
      </c>
      <c r="N272" s="3">
        <v>0</v>
      </c>
      <c r="O272" s="3">
        <v>1</v>
      </c>
      <c r="P272" s="3">
        <f t="shared" si="0"/>
        <v>0</v>
      </c>
      <c r="Q272" s="3">
        <f t="shared" si="1"/>
        <v>96</v>
      </c>
      <c r="R272" s="3">
        <f t="shared" si="2"/>
        <v>4</v>
      </c>
      <c r="S272" s="11"/>
    </row>
    <row r="273" ht="13.5" customHeight="1" spans="1:19">
      <c r="A273" s="4" t="s">
        <v>42</v>
      </c>
      <c r="B273" s="3">
        <v>1441</v>
      </c>
      <c r="C273" s="3">
        <v>9420</v>
      </c>
      <c r="D273" s="3">
        <v>0.1</v>
      </c>
      <c r="E273" s="4" t="s">
        <v>22</v>
      </c>
      <c r="F273" s="4" t="s">
        <v>51</v>
      </c>
      <c r="G273" s="4" t="s">
        <v>51</v>
      </c>
      <c r="H273" s="4" t="s">
        <v>25</v>
      </c>
      <c r="I273" s="4" t="s">
        <v>26</v>
      </c>
      <c r="J273" s="3">
        <v>4</v>
      </c>
      <c r="K273" s="3">
        <v>25</v>
      </c>
      <c r="L273" s="3">
        <v>24</v>
      </c>
      <c r="M273" s="3">
        <v>0</v>
      </c>
      <c r="N273" s="3">
        <v>0</v>
      </c>
      <c r="O273" s="3">
        <v>1</v>
      </c>
      <c r="P273" s="3">
        <f t="shared" si="0"/>
        <v>0</v>
      </c>
      <c r="Q273" s="3">
        <f t="shared" si="1"/>
        <v>96</v>
      </c>
      <c r="R273" s="3">
        <f t="shared" si="2"/>
        <v>4</v>
      </c>
      <c r="S273" s="11"/>
    </row>
    <row r="274" ht="13.5" customHeight="1" spans="1:21">
      <c r="A274" s="4" t="s">
        <v>41</v>
      </c>
      <c r="B274" s="3">
        <v>1073</v>
      </c>
      <c r="C274" s="3">
        <v>6256</v>
      </c>
      <c r="D274" s="3">
        <v>0.1</v>
      </c>
      <c r="E274" s="4" t="s">
        <v>22</v>
      </c>
      <c r="F274" s="4" t="s">
        <v>119</v>
      </c>
      <c r="G274" s="4" t="s">
        <v>119</v>
      </c>
      <c r="H274" s="4" t="s">
        <v>25</v>
      </c>
      <c r="I274" s="4" t="s">
        <v>26</v>
      </c>
      <c r="J274" s="3">
        <v>1</v>
      </c>
      <c r="K274" s="3">
        <v>25</v>
      </c>
      <c r="L274" s="3">
        <v>25</v>
      </c>
      <c r="M274" s="3">
        <v>0</v>
      </c>
      <c r="N274" s="3">
        <v>0</v>
      </c>
      <c r="O274" s="3">
        <v>0</v>
      </c>
      <c r="P274" s="3">
        <f t="shared" si="0"/>
        <v>0</v>
      </c>
      <c r="Q274" s="3">
        <f t="shared" si="1"/>
        <v>100</v>
      </c>
      <c r="R274" s="3">
        <f t="shared" si="2"/>
        <v>0</v>
      </c>
      <c r="S274" s="11">
        <f>AVERAGE(Q274:Q277)</f>
        <v>97</v>
      </c>
      <c r="T274" s="7">
        <f>AVERAGE(R274:R277)</f>
        <v>3</v>
      </c>
      <c r="U274" s="8">
        <f>(L274+L275+L276+L277+O274+O275+O276+O277)/(K274+K275+K276+K277)*100</f>
        <v>100</v>
      </c>
    </row>
    <row r="275" ht="13.5" customHeight="1" spans="1:19">
      <c r="A275" s="4" t="s">
        <v>41</v>
      </c>
      <c r="B275" s="3">
        <v>1073</v>
      </c>
      <c r="C275" s="3">
        <v>6256</v>
      </c>
      <c r="D275" s="3">
        <v>0.1</v>
      </c>
      <c r="E275" s="4" t="s">
        <v>22</v>
      </c>
      <c r="F275" s="4" t="s">
        <v>119</v>
      </c>
      <c r="G275" s="4" t="s">
        <v>119</v>
      </c>
      <c r="H275" s="4" t="s">
        <v>25</v>
      </c>
      <c r="I275" s="4" t="s">
        <v>26</v>
      </c>
      <c r="J275" s="3">
        <v>2</v>
      </c>
      <c r="K275" s="3">
        <v>25</v>
      </c>
      <c r="L275" s="3">
        <v>24</v>
      </c>
      <c r="M275" s="3">
        <v>0</v>
      </c>
      <c r="N275" s="3">
        <v>0</v>
      </c>
      <c r="O275" s="3">
        <v>1</v>
      </c>
      <c r="P275" s="3">
        <f t="shared" si="0"/>
        <v>0</v>
      </c>
      <c r="Q275" s="3">
        <f t="shared" si="1"/>
        <v>96</v>
      </c>
      <c r="R275" s="3">
        <f t="shared" si="2"/>
        <v>4</v>
      </c>
      <c r="S275" s="11"/>
    </row>
    <row r="276" ht="13.5" customHeight="1" spans="1:19">
      <c r="A276" s="4" t="s">
        <v>41</v>
      </c>
      <c r="B276" s="3">
        <v>1073</v>
      </c>
      <c r="C276" s="3">
        <v>6256</v>
      </c>
      <c r="D276" s="3">
        <v>0.1</v>
      </c>
      <c r="E276" s="4" t="s">
        <v>22</v>
      </c>
      <c r="F276" s="4" t="s">
        <v>119</v>
      </c>
      <c r="G276" s="4" t="s">
        <v>119</v>
      </c>
      <c r="H276" s="4" t="s">
        <v>25</v>
      </c>
      <c r="I276" s="4" t="s">
        <v>26</v>
      </c>
      <c r="J276" s="3">
        <v>3</v>
      </c>
      <c r="K276" s="3">
        <v>25</v>
      </c>
      <c r="L276" s="3">
        <v>25</v>
      </c>
      <c r="M276" s="3">
        <v>0</v>
      </c>
      <c r="N276" s="3">
        <v>0</v>
      </c>
      <c r="O276" s="3">
        <v>0</v>
      </c>
      <c r="P276" s="3">
        <f t="shared" si="0"/>
        <v>0</v>
      </c>
      <c r="Q276" s="3">
        <f t="shared" si="1"/>
        <v>100</v>
      </c>
      <c r="R276" s="3">
        <f t="shared" si="2"/>
        <v>0</v>
      </c>
      <c r="S276" s="11"/>
    </row>
    <row r="277" ht="13.5" customHeight="1" spans="1:19">
      <c r="A277" s="4" t="s">
        <v>41</v>
      </c>
      <c r="B277" s="3">
        <v>1073</v>
      </c>
      <c r="C277" s="3">
        <v>6256</v>
      </c>
      <c r="D277" s="3">
        <v>0.1</v>
      </c>
      <c r="E277" s="4" t="s">
        <v>22</v>
      </c>
      <c r="F277" s="4" t="s">
        <v>119</v>
      </c>
      <c r="G277" s="4" t="s">
        <v>119</v>
      </c>
      <c r="H277" s="4" t="s">
        <v>25</v>
      </c>
      <c r="I277" s="4" t="s">
        <v>26</v>
      </c>
      <c r="J277" s="3">
        <v>4</v>
      </c>
      <c r="K277" s="3">
        <v>25</v>
      </c>
      <c r="L277" s="3">
        <v>23</v>
      </c>
      <c r="M277" s="3">
        <v>0</v>
      </c>
      <c r="N277" s="3">
        <v>0</v>
      </c>
      <c r="O277" s="3">
        <v>2</v>
      </c>
      <c r="P277" s="3">
        <f t="shared" si="0"/>
        <v>0</v>
      </c>
      <c r="Q277" s="3">
        <f t="shared" si="1"/>
        <v>92</v>
      </c>
      <c r="R277" s="3">
        <f t="shared" si="2"/>
        <v>8</v>
      </c>
      <c r="S277" s="11"/>
    </row>
    <row r="278" ht="13.5" customHeight="1" spans="1:21">
      <c r="A278" s="4" t="s">
        <v>120</v>
      </c>
      <c r="B278" s="3">
        <v>1147</v>
      </c>
      <c r="C278" s="3">
        <v>7497</v>
      </c>
      <c r="D278" s="3">
        <v>0.1</v>
      </c>
      <c r="E278" s="4" t="s">
        <v>22</v>
      </c>
      <c r="F278" s="4" t="s">
        <v>51</v>
      </c>
      <c r="G278" s="4" t="s">
        <v>51</v>
      </c>
      <c r="H278" s="4" t="s">
        <v>25</v>
      </c>
      <c r="I278" s="4" t="s">
        <v>26</v>
      </c>
      <c r="J278" s="3">
        <v>1</v>
      </c>
      <c r="K278" s="3">
        <v>25</v>
      </c>
      <c r="L278" s="3">
        <v>25</v>
      </c>
      <c r="M278" s="3">
        <v>0</v>
      </c>
      <c r="N278" s="3">
        <v>0</v>
      </c>
      <c r="O278" s="3">
        <v>0</v>
      </c>
      <c r="P278" s="3">
        <f t="shared" si="0"/>
        <v>0</v>
      </c>
      <c r="Q278" s="3">
        <f t="shared" si="1"/>
        <v>100</v>
      </c>
      <c r="R278" s="3">
        <f t="shared" si="2"/>
        <v>0</v>
      </c>
      <c r="S278" s="11">
        <f>AVERAGE(Q278:Q281)</f>
        <v>98</v>
      </c>
      <c r="T278" s="7">
        <f>AVERAGE(R278:R281)</f>
        <v>2</v>
      </c>
      <c r="U278" s="8">
        <f>(L278+L279+L280+L281+O278+O279+O280+O281)/(K278+K279+K280+K281)*100</f>
        <v>100</v>
      </c>
    </row>
    <row r="279" ht="13.5" customHeight="1" spans="1:19">
      <c r="A279" s="4" t="s">
        <v>120</v>
      </c>
      <c r="B279" s="3">
        <v>1147</v>
      </c>
      <c r="C279" s="3">
        <v>7497</v>
      </c>
      <c r="D279" s="3">
        <v>0.1</v>
      </c>
      <c r="E279" s="4" t="s">
        <v>22</v>
      </c>
      <c r="F279" s="4" t="s">
        <v>51</v>
      </c>
      <c r="G279" s="4" t="s">
        <v>51</v>
      </c>
      <c r="H279" s="4" t="s">
        <v>25</v>
      </c>
      <c r="I279" s="4" t="s">
        <v>26</v>
      </c>
      <c r="J279" s="3">
        <v>2</v>
      </c>
      <c r="K279" s="3">
        <v>25</v>
      </c>
      <c r="L279" s="3">
        <v>25</v>
      </c>
      <c r="M279" s="3">
        <v>0</v>
      </c>
      <c r="N279" s="3">
        <v>0</v>
      </c>
      <c r="O279" s="3">
        <v>0</v>
      </c>
      <c r="P279" s="3">
        <f t="shared" si="0"/>
        <v>0</v>
      </c>
      <c r="Q279" s="3">
        <f t="shared" si="1"/>
        <v>100</v>
      </c>
      <c r="R279" s="3">
        <f t="shared" si="2"/>
        <v>0</v>
      </c>
      <c r="S279" s="11"/>
    </row>
    <row r="280" ht="13.5" customHeight="1" spans="1:19">
      <c r="A280" s="4" t="s">
        <v>120</v>
      </c>
      <c r="B280" s="3">
        <v>1147</v>
      </c>
      <c r="C280" s="3">
        <v>7497</v>
      </c>
      <c r="D280" s="3">
        <v>0.1</v>
      </c>
      <c r="E280" s="4" t="s">
        <v>22</v>
      </c>
      <c r="F280" s="4" t="s">
        <v>51</v>
      </c>
      <c r="G280" s="4" t="s">
        <v>51</v>
      </c>
      <c r="H280" s="4" t="s">
        <v>25</v>
      </c>
      <c r="I280" s="4" t="s">
        <v>26</v>
      </c>
      <c r="J280" s="3">
        <v>3</v>
      </c>
      <c r="K280" s="3">
        <v>25</v>
      </c>
      <c r="L280" s="3">
        <v>24</v>
      </c>
      <c r="M280" s="3">
        <v>0</v>
      </c>
      <c r="N280" s="3">
        <v>0</v>
      </c>
      <c r="O280" s="3">
        <v>1</v>
      </c>
      <c r="P280" s="3">
        <f t="shared" si="0"/>
        <v>0</v>
      </c>
      <c r="Q280" s="3">
        <f t="shared" si="1"/>
        <v>96</v>
      </c>
      <c r="R280" s="3">
        <f t="shared" si="2"/>
        <v>4</v>
      </c>
      <c r="S280" s="11"/>
    </row>
    <row r="281" ht="13.5" customHeight="1" spans="1:19">
      <c r="A281" s="4" t="s">
        <v>120</v>
      </c>
      <c r="B281" s="3">
        <v>1147</v>
      </c>
      <c r="C281" s="3">
        <v>7497</v>
      </c>
      <c r="D281" s="3">
        <v>0.1</v>
      </c>
      <c r="E281" s="4" t="s">
        <v>22</v>
      </c>
      <c r="F281" s="4" t="s">
        <v>51</v>
      </c>
      <c r="G281" s="4" t="s">
        <v>51</v>
      </c>
      <c r="H281" s="4" t="s">
        <v>25</v>
      </c>
      <c r="I281" s="4" t="s">
        <v>26</v>
      </c>
      <c r="J281" s="3">
        <v>4</v>
      </c>
      <c r="K281" s="3">
        <v>25</v>
      </c>
      <c r="L281" s="3">
        <v>24</v>
      </c>
      <c r="M281" s="3">
        <v>0</v>
      </c>
      <c r="N281" s="3">
        <v>0</v>
      </c>
      <c r="O281" s="3">
        <v>1</v>
      </c>
      <c r="P281" s="3">
        <f t="shared" si="0"/>
        <v>0</v>
      </c>
      <c r="Q281" s="3">
        <f t="shared" si="1"/>
        <v>96</v>
      </c>
      <c r="R281" s="3">
        <f t="shared" si="2"/>
        <v>4</v>
      </c>
      <c r="S281" s="11"/>
    </row>
    <row r="282" ht="13.5" customHeight="1" spans="1:21">
      <c r="A282" s="4" t="s">
        <v>121</v>
      </c>
      <c r="B282" s="3">
        <v>1017</v>
      </c>
      <c r="C282" s="3">
        <v>5556</v>
      </c>
      <c r="D282" s="3">
        <v>4</v>
      </c>
      <c r="E282" s="4" t="s">
        <v>33</v>
      </c>
      <c r="F282" s="4" t="s">
        <v>110</v>
      </c>
      <c r="G282" s="4" t="s">
        <v>111</v>
      </c>
      <c r="H282" s="4" t="s">
        <v>40</v>
      </c>
      <c r="I282" s="4" t="s">
        <v>26</v>
      </c>
      <c r="J282" s="3">
        <v>1</v>
      </c>
      <c r="K282" s="3">
        <v>24</v>
      </c>
      <c r="L282" s="3">
        <v>19</v>
      </c>
      <c r="M282" s="3">
        <v>2</v>
      </c>
      <c r="N282" s="3">
        <v>3</v>
      </c>
      <c r="O282" s="3">
        <v>0</v>
      </c>
      <c r="P282" s="3">
        <f t="shared" si="0"/>
        <v>0</v>
      </c>
      <c r="Q282" s="3">
        <f t="shared" si="1"/>
        <v>90.4761904761905</v>
      </c>
      <c r="R282" s="3">
        <f t="shared" si="2"/>
        <v>0</v>
      </c>
      <c r="S282" s="11">
        <f>AVERAGE(Q282:Q285)</f>
        <v>80.5255325814536</v>
      </c>
      <c r="T282" s="7">
        <f>AVERAGE(R282:R285)</f>
        <v>4.6640037593985</v>
      </c>
      <c r="U282" s="8">
        <f>(L282+L283+L284+L285+O282+O283+O284+O285)/(K282+K283+K284+K285)*100</f>
        <v>70.5882352941177</v>
      </c>
    </row>
    <row r="283" ht="13.5" customHeight="1" spans="1:19">
      <c r="A283" s="4" t="s">
        <v>121</v>
      </c>
      <c r="B283" s="3">
        <v>1017</v>
      </c>
      <c r="C283" s="3">
        <v>5556</v>
      </c>
      <c r="D283" s="3">
        <v>4</v>
      </c>
      <c r="E283" s="4" t="s">
        <v>33</v>
      </c>
      <c r="F283" s="4" t="s">
        <v>110</v>
      </c>
      <c r="G283" s="4" t="s">
        <v>111</v>
      </c>
      <c r="H283" s="4" t="s">
        <v>40</v>
      </c>
      <c r="I283" s="4" t="s">
        <v>26</v>
      </c>
      <c r="J283" s="3">
        <v>2</v>
      </c>
      <c r="K283" s="3">
        <v>23</v>
      </c>
      <c r="L283" s="3">
        <v>15</v>
      </c>
      <c r="M283" s="3">
        <v>3</v>
      </c>
      <c r="N283" s="3">
        <v>4</v>
      </c>
      <c r="O283" s="3">
        <v>1</v>
      </c>
      <c r="P283" s="3">
        <f t="shared" si="0"/>
        <v>0</v>
      </c>
      <c r="Q283" s="3">
        <f t="shared" si="1"/>
        <v>78.9473684210526</v>
      </c>
      <c r="R283" s="3">
        <f t="shared" si="2"/>
        <v>5.26315789473684</v>
      </c>
      <c r="S283" s="11"/>
    </row>
    <row r="284" ht="13.5" customHeight="1" spans="1:19">
      <c r="A284" s="4" t="s">
        <v>121</v>
      </c>
      <c r="B284" s="3">
        <v>1017</v>
      </c>
      <c r="C284" s="3">
        <v>5556</v>
      </c>
      <c r="D284" s="3">
        <v>4</v>
      </c>
      <c r="E284" s="4" t="s">
        <v>33</v>
      </c>
      <c r="F284" s="4" t="s">
        <v>110</v>
      </c>
      <c r="G284" s="4" t="s">
        <v>111</v>
      </c>
      <c r="H284" s="4" t="s">
        <v>40</v>
      </c>
      <c r="I284" s="4" t="s">
        <v>26</v>
      </c>
      <c r="J284" s="3">
        <v>3</v>
      </c>
      <c r="K284" s="3">
        <v>18</v>
      </c>
      <c r="L284" s="3">
        <v>10</v>
      </c>
      <c r="M284" s="3">
        <v>3</v>
      </c>
      <c r="N284" s="3">
        <v>4</v>
      </c>
      <c r="O284" s="3">
        <v>1</v>
      </c>
      <c r="P284" s="3">
        <f t="shared" si="0"/>
        <v>0</v>
      </c>
      <c r="Q284" s="3">
        <f t="shared" si="1"/>
        <v>71.4285714285714</v>
      </c>
      <c r="R284" s="3">
        <f t="shared" si="2"/>
        <v>7.14285714285714</v>
      </c>
      <c r="S284" s="11"/>
    </row>
    <row r="285" ht="13.5" customHeight="1" spans="1:19">
      <c r="A285" s="4" t="s">
        <v>121</v>
      </c>
      <c r="B285" s="3">
        <v>1017</v>
      </c>
      <c r="C285" s="3">
        <v>5556</v>
      </c>
      <c r="D285" s="3">
        <v>4</v>
      </c>
      <c r="E285" s="4" t="s">
        <v>33</v>
      </c>
      <c r="F285" s="4" t="s">
        <v>110</v>
      </c>
      <c r="G285" s="4" t="s">
        <v>111</v>
      </c>
      <c r="H285" s="4" t="s">
        <v>40</v>
      </c>
      <c r="I285" s="4" t="s">
        <v>26</v>
      </c>
      <c r="J285" s="3">
        <v>4</v>
      </c>
      <c r="K285" s="3">
        <v>20</v>
      </c>
      <c r="L285" s="3">
        <v>13</v>
      </c>
      <c r="M285" s="3">
        <v>2</v>
      </c>
      <c r="N285" s="3">
        <v>4</v>
      </c>
      <c r="O285" s="3">
        <v>1</v>
      </c>
      <c r="P285" s="3">
        <f t="shared" si="0"/>
        <v>0</v>
      </c>
      <c r="Q285" s="3">
        <f t="shared" si="1"/>
        <v>81.25</v>
      </c>
      <c r="R285" s="3">
        <f t="shared" si="2"/>
        <v>6.25</v>
      </c>
      <c r="S285" s="11"/>
    </row>
    <row r="286" ht="13.5" customHeight="1" spans="1:21">
      <c r="A286" s="4" t="s">
        <v>122</v>
      </c>
      <c r="B286" s="3">
        <v>1017</v>
      </c>
      <c r="C286" s="3">
        <v>5938</v>
      </c>
      <c r="D286" s="3">
        <v>0.1</v>
      </c>
      <c r="E286" s="4" t="s">
        <v>33</v>
      </c>
      <c r="F286" s="4" t="s">
        <v>123</v>
      </c>
      <c r="G286" s="4" t="s">
        <v>124</v>
      </c>
      <c r="H286" s="4" t="s">
        <v>40</v>
      </c>
      <c r="I286" s="4" t="s">
        <v>26</v>
      </c>
      <c r="J286" s="3">
        <v>1</v>
      </c>
      <c r="K286" s="3">
        <v>25</v>
      </c>
      <c r="L286" s="3">
        <v>7</v>
      </c>
      <c r="M286" s="3">
        <v>10</v>
      </c>
      <c r="N286" s="3">
        <v>0</v>
      </c>
      <c r="O286" s="3">
        <v>8</v>
      </c>
      <c r="P286" s="3">
        <f t="shared" si="0"/>
        <v>0</v>
      </c>
      <c r="Q286" s="3">
        <f t="shared" si="1"/>
        <v>28</v>
      </c>
      <c r="R286" s="3">
        <f t="shared" si="2"/>
        <v>32</v>
      </c>
      <c r="S286" s="11">
        <f>AVERAGE(Q286:Q289)</f>
        <v>28</v>
      </c>
      <c r="T286" s="7">
        <f>AVERAGE(R286:R289)</f>
        <v>33</v>
      </c>
      <c r="U286" s="8">
        <f>(L286+L287+L288+L289+O286+O287+O288+O289)/(K286+K287+K288+K289)*100</f>
        <v>61</v>
      </c>
    </row>
    <row r="287" ht="13.5" customHeight="1" spans="1:19">
      <c r="A287" s="4" t="s">
        <v>122</v>
      </c>
      <c r="B287" s="3">
        <v>1017</v>
      </c>
      <c r="C287" s="3">
        <v>5938</v>
      </c>
      <c r="D287" s="3">
        <v>0.1</v>
      </c>
      <c r="E287" s="4" t="s">
        <v>33</v>
      </c>
      <c r="F287" s="4" t="s">
        <v>123</v>
      </c>
      <c r="G287" s="4" t="s">
        <v>124</v>
      </c>
      <c r="H287" s="4" t="s">
        <v>40</v>
      </c>
      <c r="I287" s="4" t="s">
        <v>26</v>
      </c>
      <c r="J287" s="3">
        <v>2</v>
      </c>
      <c r="K287" s="3">
        <v>25</v>
      </c>
      <c r="L287" s="3">
        <v>6</v>
      </c>
      <c r="M287" s="3">
        <v>13</v>
      </c>
      <c r="N287" s="3">
        <v>0</v>
      </c>
      <c r="O287" s="3">
        <v>6</v>
      </c>
      <c r="P287" s="3">
        <f t="shared" si="0"/>
        <v>0</v>
      </c>
      <c r="Q287" s="3">
        <f t="shared" si="1"/>
        <v>24</v>
      </c>
      <c r="R287" s="3">
        <f t="shared" si="2"/>
        <v>24</v>
      </c>
      <c r="S287" s="11"/>
    </row>
    <row r="288" ht="13.5" customHeight="1" spans="1:19">
      <c r="A288" s="4" t="s">
        <v>122</v>
      </c>
      <c r="B288" s="3">
        <v>1017</v>
      </c>
      <c r="C288" s="3">
        <v>5938</v>
      </c>
      <c r="D288" s="3">
        <v>0.1</v>
      </c>
      <c r="E288" s="4" t="s">
        <v>33</v>
      </c>
      <c r="F288" s="4" t="s">
        <v>123</v>
      </c>
      <c r="G288" s="4" t="s">
        <v>124</v>
      </c>
      <c r="H288" s="4" t="s">
        <v>40</v>
      </c>
      <c r="I288" s="4" t="s">
        <v>26</v>
      </c>
      <c r="J288" s="3">
        <v>3</v>
      </c>
      <c r="K288" s="3">
        <v>25</v>
      </c>
      <c r="L288" s="3">
        <v>9</v>
      </c>
      <c r="M288" s="3">
        <v>11</v>
      </c>
      <c r="N288" s="3">
        <v>0</v>
      </c>
      <c r="O288" s="3">
        <v>5</v>
      </c>
      <c r="P288" s="3">
        <f t="shared" si="0"/>
        <v>0</v>
      </c>
      <c r="Q288" s="3">
        <f t="shared" si="1"/>
        <v>36</v>
      </c>
      <c r="R288" s="3">
        <f t="shared" si="2"/>
        <v>20</v>
      </c>
      <c r="S288" s="11"/>
    </row>
    <row r="289" ht="13.5" customHeight="1" spans="1:19">
      <c r="A289" s="4" t="s">
        <v>122</v>
      </c>
      <c r="B289" s="3">
        <v>1017</v>
      </c>
      <c r="C289" s="3">
        <v>5938</v>
      </c>
      <c r="D289" s="3">
        <v>0.1</v>
      </c>
      <c r="E289" s="4" t="s">
        <v>33</v>
      </c>
      <c r="F289" s="4" t="s">
        <v>123</v>
      </c>
      <c r="G289" s="4" t="s">
        <v>124</v>
      </c>
      <c r="H289" s="4" t="s">
        <v>40</v>
      </c>
      <c r="I289" s="4" t="s">
        <v>26</v>
      </c>
      <c r="J289" s="3">
        <v>4</v>
      </c>
      <c r="K289" s="3">
        <v>25</v>
      </c>
      <c r="L289" s="3">
        <v>6</v>
      </c>
      <c r="M289" s="3">
        <v>5</v>
      </c>
      <c r="N289" s="3">
        <v>0</v>
      </c>
      <c r="O289" s="3">
        <v>14</v>
      </c>
      <c r="P289" s="3">
        <f t="shared" si="0"/>
        <v>0</v>
      </c>
      <c r="Q289" s="3">
        <f t="shared" si="1"/>
        <v>24</v>
      </c>
      <c r="R289" s="3">
        <f t="shared" si="2"/>
        <v>56</v>
      </c>
      <c r="S289" s="11"/>
    </row>
    <row r="290" ht="13.5" customHeight="1" spans="1:21">
      <c r="A290" s="4" t="s">
        <v>121</v>
      </c>
      <c r="B290" s="3">
        <v>1017</v>
      </c>
      <c r="C290" s="3">
        <v>5556</v>
      </c>
      <c r="D290" s="3">
        <v>1</v>
      </c>
      <c r="E290" s="4" t="s">
        <v>22</v>
      </c>
      <c r="F290" s="4" t="s">
        <v>116</v>
      </c>
      <c r="G290" s="4" t="s">
        <v>116</v>
      </c>
      <c r="H290" s="4" t="s">
        <v>40</v>
      </c>
      <c r="I290" s="4" t="s">
        <v>26</v>
      </c>
      <c r="J290" s="3">
        <v>1</v>
      </c>
      <c r="K290" s="3">
        <v>20</v>
      </c>
      <c r="L290" s="3">
        <v>3</v>
      </c>
      <c r="M290" s="3">
        <v>0</v>
      </c>
      <c r="N290" s="3">
        <v>3</v>
      </c>
      <c r="O290" s="3">
        <v>14</v>
      </c>
      <c r="P290" s="3">
        <f t="shared" si="0"/>
        <v>0</v>
      </c>
      <c r="Q290" s="3">
        <f t="shared" si="1"/>
        <v>17.6470588235294</v>
      </c>
      <c r="R290" s="3">
        <f t="shared" si="2"/>
        <v>82.3529411764706</v>
      </c>
      <c r="S290" s="11">
        <f>AVERAGE(Q290:Q293)</f>
        <v>15.3766769865841</v>
      </c>
      <c r="T290" s="7">
        <f>AVERAGE(R290:R293)</f>
        <v>84.6233230134159</v>
      </c>
      <c r="U290" s="8">
        <f>(L290+L291+L292+L293+O290+O291+O292+O293)/(K290+K291+K292+K293)*100</f>
        <v>90</v>
      </c>
    </row>
    <row r="291" ht="13.5" customHeight="1" spans="1:19">
      <c r="A291" s="4" t="s">
        <v>121</v>
      </c>
      <c r="B291" s="3">
        <v>1017</v>
      </c>
      <c r="C291" s="3">
        <v>5556</v>
      </c>
      <c r="D291" s="3">
        <v>1</v>
      </c>
      <c r="E291" s="4" t="s">
        <v>22</v>
      </c>
      <c r="F291" s="4" t="s">
        <v>116</v>
      </c>
      <c r="G291" s="4" t="s">
        <v>116</v>
      </c>
      <c r="H291" s="4" t="s">
        <v>40</v>
      </c>
      <c r="I291" s="4" t="s">
        <v>26</v>
      </c>
      <c r="J291" s="3">
        <v>2</v>
      </c>
      <c r="K291" s="3">
        <v>20</v>
      </c>
      <c r="L291" s="3">
        <v>3</v>
      </c>
      <c r="M291" s="3">
        <v>0</v>
      </c>
      <c r="N291" s="3">
        <v>2</v>
      </c>
      <c r="O291" s="3">
        <v>15</v>
      </c>
      <c r="P291" s="3">
        <f t="shared" si="0"/>
        <v>0</v>
      </c>
      <c r="Q291" s="3">
        <f t="shared" si="1"/>
        <v>16.6666666666667</v>
      </c>
      <c r="R291" s="3">
        <f t="shared" si="2"/>
        <v>83.3333333333333</v>
      </c>
      <c r="S291" s="11"/>
    </row>
    <row r="292" ht="13.5" customHeight="1" spans="1:19">
      <c r="A292" s="4" t="s">
        <v>121</v>
      </c>
      <c r="B292" s="3">
        <v>1017</v>
      </c>
      <c r="C292" s="3">
        <v>5556</v>
      </c>
      <c r="D292" s="3">
        <v>1</v>
      </c>
      <c r="E292" s="4" t="s">
        <v>22</v>
      </c>
      <c r="F292" s="4" t="s">
        <v>116</v>
      </c>
      <c r="G292" s="4" t="s">
        <v>116</v>
      </c>
      <c r="H292" s="4" t="s">
        <v>40</v>
      </c>
      <c r="I292" s="4" t="s">
        <v>26</v>
      </c>
      <c r="J292" s="3">
        <v>3</v>
      </c>
      <c r="K292" s="3">
        <v>20</v>
      </c>
      <c r="L292" s="3">
        <v>3</v>
      </c>
      <c r="M292" s="3">
        <v>0</v>
      </c>
      <c r="N292" s="3">
        <v>2</v>
      </c>
      <c r="O292" s="3">
        <v>15</v>
      </c>
      <c r="P292" s="3">
        <f t="shared" si="0"/>
        <v>0</v>
      </c>
      <c r="Q292" s="3">
        <f t="shared" si="1"/>
        <v>16.6666666666667</v>
      </c>
      <c r="R292" s="3">
        <f t="shared" si="2"/>
        <v>83.3333333333333</v>
      </c>
      <c r="S292" s="11"/>
    </row>
    <row r="293" ht="13.5" customHeight="1" spans="1:19">
      <c r="A293" s="4" t="s">
        <v>121</v>
      </c>
      <c r="B293" s="3">
        <v>1017</v>
      </c>
      <c r="C293" s="3">
        <v>5556</v>
      </c>
      <c r="D293" s="3">
        <v>1</v>
      </c>
      <c r="E293" s="4" t="s">
        <v>22</v>
      </c>
      <c r="F293" s="4" t="s">
        <v>116</v>
      </c>
      <c r="G293" s="4" t="s">
        <v>116</v>
      </c>
      <c r="H293" s="4" t="s">
        <v>40</v>
      </c>
      <c r="I293" s="4" t="s">
        <v>26</v>
      </c>
      <c r="J293" s="3">
        <v>4</v>
      </c>
      <c r="K293" s="3">
        <v>20</v>
      </c>
      <c r="L293" s="3">
        <v>2</v>
      </c>
      <c r="M293" s="3">
        <v>0</v>
      </c>
      <c r="N293" s="3">
        <v>1</v>
      </c>
      <c r="O293" s="3">
        <v>17</v>
      </c>
      <c r="P293" s="3">
        <f t="shared" si="0"/>
        <v>0</v>
      </c>
      <c r="Q293" s="3">
        <f t="shared" si="1"/>
        <v>10.5263157894737</v>
      </c>
      <c r="R293" s="3">
        <f t="shared" si="2"/>
        <v>89.4736842105263</v>
      </c>
      <c r="S293" s="11"/>
    </row>
    <row r="294" ht="13.5" customHeight="1" spans="1:21">
      <c r="A294" s="4" t="s">
        <v>69</v>
      </c>
      <c r="B294" s="3">
        <v>1940</v>
      </c>
      <c r="C294" s="3">
        <v>11126</v>
      </c>
      <c r="D294" s="3">
        <v>0.1</v>
      </c>
      <c r="E294" s="4" t="s">
        <v>48</v>
      </c>
      <c r="F294" s="4" t="s">
        <v>108</v>
      </c>
      <c r="G294" s="3" t="s">
        <v>125</v>
      </c>
      <c r="H294" s="4" t="s">
        <v>25</v>
      </c>
      <c r="I294" s="4" t="s">
        <v>26</v>
      </c>
      <c r="J294" s="3">
        <v>1</v>
      </c>
      <c r="K294" s="3">
        <v>25</v>
      </c>
      <c r="L294" s="3">
        <v>22</v>
      </c>
      <c r="M294" s="3">
        <v>0</v>
      </c>
      <c r="N294" s="3">
        <v>1</v>
      </c>
      <c r="O294" s="3">
        <v>2</v>
      </c>
      <c r="P294" s="3">
        <f t="shared" si="0"/>
        <v>0</v>
      </c>
      <c r="Q294" s="3">
        <f t="shared" si="1"/>
        <v>91.6666666666667</v>
      </c>
      <c r="R294" s="3">
        <f t="shared" si="2"/>
        <v>8.33333333333333</v>
      </c>
      <c r="S294" s="11">
        <f>AVERAGE(Q294:Q297)</f>
        <v>94.875</v>
      </c>
      <c r="T294" s="7">
        <f>AVERAGE(R294:R297)</f>
        <v>4.125</v>
      </c>
      <c r="U294" s="8">
        <f>(L294+L295+L296+L297+O294+O295+O296+O297)/(K294+K295+K296+K297)*100</f>
        <v>94</v>
      </c>
    </row>
    <row r="295" ht="13.5" customHeight="1" spans="1:19">
      <c r="A295" s="4" t="s">
        <v>69</v>
      </c>
      <c r="B295" s="3">
        <v>1940</v>
      </c>
      <c r="C295" s="3">
        <v>11126</v>
      </c>
      <c r="D295" s="3">
        <v>0.1</v>
      </c>
      <c r="E295" s="4" t="s">
        <v>48</v>
      </c>
      <c r="F295" s="4" t="s">
        <v>108</v>
      </c>
      <c r="G295" s="3" t="s">
        <v>125</v>
      </c>
      <c r="H295" s="4" t="s">
        <v>25</v>
      </c>
      <c r="I295" s="4" t="s">
        <v>26</v>
      </c>
      <c r="J295" s="3">
        <v>2</v>
      </c>
      <c r="K295" s="3">
        <v>25</v>
      </c>
      <c r="L295" s="3">
        <v>23</v>
      </c>
      <c r="M295" s="3">
        <v>0</v>
      </c>
      <c r="N295" s="3">
        <v>1</v>
      </c>
      <c r="O295" s="3">
        <v>1</v>
      </c>
      <c r="P295" s="3">
        <f t="shared" si="0"/>
        <v>0</v>
      </c>
      <c r="Q295" s="3">
        <f t="shared" si="1"/>
        <v>95.8333333333333</v>
      </c>
      <c r="R295" s="3">
        <f t="shared" si="2"/>
        <v>4.16666666666667</v>
      </c>
      <c r="S295" s="11"/>
    </row>
    <row r="296" ht="13.5" customHeight="1" spans="1:19">
      <c r="A296" s="4" t="s">
        <v>69</v>
      </c>
      <c r="B296" s="3">
        <v>1940</v>
      </c>
      <c r="C296" s="3">
        <v>11126</v>
      </c>
      <c r="D296" s="3">
        <v>0.1</v>
      </c>
      <c r="E296" s="4" t="s">
        <v>48</v>
      </c>
      <c r="F296" s="4" t="s">
        <v>108</v>
      </c>
      <c r="G296" s="3" t="s">
        <v>125</v>
      </c>
      <c r="H296" s="4" t="s">
        <v>25</v>
      </c>
      <c r="I296" s="4" t="s">
        <v>26</v>
      </c>
      <c r="J296" s="3">
        <v>3</v>
      </c>
      <c r="K296" s="3">
        <v>25</v>
      </c>
      <c r="L296" s="3">
        <v>23</v>
      </c>
      <c r="M296" s="3">
        <v>1</v>
      </c>
      <c r="N296" s="3">
        <v>0</v>
      </c>
      <c r="O296" s="3">
        <v>1</v>
      </c>
      <c r="P296" s="3">
        <f t="shared" si="0"/>
        <v>0</v>
      </c>
      <c r="Q296" s="3">
        <f t="shared" si="1"/>
        <v>92</v>
      </c>
      <c r="R296" s="3">
        <f t="shared" si="2"/>
        <v>4</v>
      </c>
      <c r="S296" s="11"/>
    </row>
    <row r="297" ht="13.5" customHeight="1" spans="1:19">
      <c r="A297" s="4" t="s">
        <v>69</v>
      </c>
      <c r="B297" s="3">
        <v>1940</v>
      </c>
      <c r="C297" s="3">
        <v>11126</v>
      </c>
      <c r="D297" s="3">
        <v>0.1</v>
      </c>
      <c r="E297" s="4" t="s">
        <v>48</v>
      </c>
      <c r="F297" s="4" t="s">
        <v>108</v>
      </c>
      <c r="G297" s="3" t="s">
        <v>125</v>
      </c>
      <c r="H297" s="4" t="s">
        <v>25</v>
      </c>
      <c r="I297" s="4" t="s">
        <v>26</v>
      </c>
      <c r="J297" s="3">
        <v>4</v>
      </c>
      <c r="K297" s="3">
        <v>25</v>
      </c>
      <c r="L297" s="3">
        <v>22</v>
      </c>
      <c r="M297" s="3">
        <v>0</v>
      </c>
      <c r="N297" s="3">
        <v>3</v>
      </c>
      <c r="O297" s="3">
        <v>0</v>
      </c>
      <c r="P297" s="3">
        <f t="shared" si="0"/>
        <v>0</v>
      </c>
      <c r="Q297" s="3">
        <f t="shared" si="1"/>
        <v>100</v>
      </c>
      <c r="R297" s="3">
        <f t="shared" si="2"/>
        <v>0</v>
      </c>
      <c r="S297" s="11"/>
    </row>
    <row r="298" ht="13.5" customHeight="1" spans="1:21">
      <c r="A298" s="4" t="s">
        <v>36</v>
      </c>
      <c r="B298" s="3">
        <v>1294</v>
      </c>
      <c r="C298" s="3">
        <v>8842</v>
      </c>
      <c r="D298" s="3">
        <v>0.1</v>
      </c>
      <c r="E298" s="4" t="s">
        <v>33</v>
      </c>
      <c r="F298" s="4" t="s">
        <v>110</v>
      </c>
      <c r="G298" s="4" t="s">
        <v>111</v>
      </c>
      <c r="H298" s="4" t="s">
        <v>40</v>
      </c>
      <c r="I298" s="4" t="s">
        <v>26</v>
      </c>
      <c r="J298" s="3">
        <v>1</v>
      </c>
      <c r="K298" s="3">
        <v>25</v>
      </c>
      <c r="L298" s="3">
        <v>22</v>
      </c>
      <c r="M298" s="3">
        <v>0</v>
      </c>
      <c r="N298" s="3">
        <v>3</v>
      </c>
      <c r="O298" s="3">
        <v>0</v>
      </c>
      <c r="P298" s="3">
        <f t="shared" si="0"/>
        <v>0</v>
      </c>
      <c r="Q298" s="3">
        <f t="shared" si="1"/>
        <v>100</v>
      </c>
      <c r="R298" s="3">
        <f t="shared" si="2"/>
        <v>0</v>
      </c>
      <c r="S298" s="11">
        <f>AVERAGE(Q298:Q301)</f>
        <v>94.7391304347826</v>
      </c>
      <c r="T298" s="7">
        <f>AVERAGE(R298:R301)</f>
        <v>0</v>
      </c>
      <c r="U298" s="8">
        <f>(L298+L299+L300+L301+O298+O299+O300+O301)/(K298+K299+K300+K301)*100</f>
        <v>87</v>
      </c>
    </row>
    <row r="299" ht="13.5" customHeight="1" spans="1:19">
      <c r="A299" s="4" t="s">
        <v>36</v>
      </c>
      <c r="B299" s="3">
        <v>1294</v>
      </c>
      <c r="C299" s="3">
        <v>8842</v>
      </c>
      <c r="D299" s="3">
        <v>0.1</v>
      </c>
      <c r="E299" s="4" t="s">
        <v>33</v>
      </c>
      <c r="F299" s="4" t="s">
        <v>110</v>
      </c>
      <c r="G299" s="4" t="s">
        <v>111</v>
      </c>
      <c r="H299" s="4" t="s">
        <v>40</v>
      </c>
      <c r="I299" s="4" t="s">
        <v>26</v>
      </c>
      <c r="J299" s="3">
        <v>2</v>
      </c>
      <c r="K299" s="3">
        <v>25</v>
      </c>
      <c r="L299" s="3">
        <v>22</v>
      </c>
      <c r="M299" s="3">
        <v>0</v>
      </c>
      <c r="N299" s="3">
        <v>3</v>
      </c>
      <c r="O299" s="3">
        <v>0</v>
      </c>
      <c r="P299" s="3">
        <f t="shared" si="0"/>
        <v>0</v>
      </c>
      <c r="Q299" s="3">
        <f t="shared" si="1"/>
        <v>100</v>
      </c>
      <c r="R299" s="3">
        <f t="shared" si="2"/>
        <v>0</v>
      </c>
      <c r="S299" s="11"/>
    </row>
    <row r="300" ht="13.5" customHeight="1" spans="1:19">
      <c r="A300" s="4" t="s">
        <v>36</v>
      </c>
      <c r="B300" s="3">
        <v>1294</v>
      </c>
      <c r="C300" s="3">
        <v>8842</v>
      </c>
      <c r="D300" s="3">
        <v>0.1</v>
      </c>
      <c r="E300" s="4" t="s">
        <v>33</v>
      </c>
      <c r="F300" s="4" t="s">
        <v>110</v>
      </c>
      <c r="G300" s="4" t="s">
        <v>111</v>
      </c>
      <c r="H300" s="4" t="s">
        <v>40</v>
      </c>
      <c r="I300" s="4" t="s">
        <v>26</v>
      </c>
      <c r="J300" s="3">
        <v>3</v>
      </c>
      <c r="K300" s="3">
        <v>25</v>
      </c>
      <c r="L300" s="3">
        <v>23</v>
      </c>
      <c r="M300" s="3">
        <v>2</v>
      </c>
      <c r="N300" s="3">
        <v>0</v>
      </c>
      <c r="O300" s="3">
        <v>0</v>
      </c>
      <c r="P300" s="3">
        <f t="shared" si="0"/>
        <v>0</v>
      </c>
      <c r="Q300" s="3">
        <f t="shared" si="1"/>
        <v>92</v>
      </c>
      <c r="R300" s="3">
        <f t="shared" si="2"/>
        <v>0</v>
      </c>
      <c r="S300" s="11"/>
    </row>
    <row r="301" ht="13.5" customHeight="1" spans="1:19">
      <c r="A301" s="4" t="s">
        <v>36</v>
      </c>
      <c r="B301" s="3">
        <v>1294</v>
      </c>
      <c r="C301" s="3">
        <v>8842</v>
      </c>
      <c r="D301" s="3">
        <v>0.1</v>
      </c>
      <c r="E301" s="4" t="s">
        <v>33</v>
      </c>
      <c r="F301" s="4" t="s">
        <v>110</v>
      </c>
      <c r="G301" s="4" t="s">
        <v>111</v>
      </c>
      <c r="H301" s="4" t="s">
        <v>40</v>
      </c>
      <c r="I301" s="4" t="s">
        <v>26</v>
      </c>
      <c r="J301" s="3">
        <v>4</v>
      </c>
      <c r="K301" s="3">
        <v>25</v>
      </c>
      <c r="L301" s="3">
        <v>20</v>
      </c>
      <c r="M301" s="3">
        <v>3</v>
      </c>
      <c r="N301" s="3">
        <v>2</v>
      </c>
      <c r="O301" s="3">
        <v>0</v>
      </c>
      <c r="P301" s="3">
        <f t="shared" si="0"/>
        <v>0</v>
      </c>
      <c r="Q301" s="3">
        <f t="shared" si="1"/>
        <v>86.9565217391304</v>
      </c>
      <c r="R301" s="3">
        <f t="shared" si="2"/>
        <v>0</v>
      </c>
      <c r="S301" s="11"/>
    </row>
    <row r="302" ht="13.5" customHeight="1" spans="1:21">
      <c r="A302" s="4" t="s">
        <v>46</v>
      </c>
      <c r="B302" s="3">
        <v>1270</v>
      </c>
      <c r="C302" s="3">
        <v>8757</v>
      </c>
      <c r="D302" s="3">
        <v>0.1</v>
      </c>
      <c r="E302" s="4" t="s">
        <v>48</v>
      </c>
      <c r="F302" s="4" t="s">
        <v>108</v>
      </c>
      <c r="G302" s="3" t="s">
        <v>125</v>
      </c>
      <c r="H302" s="4" t="s">
        <v>25</v>
      </c>
      <c r="I302" s="4" t="s">
        <v>26</v>
      </c>
      <c r="J302" s="3">
        <v>1</v>
      </c>
      <c r="K302" s="3">
        <v>25</v>
      </c>
      <c r="L302" s="3">
        <v>11</v>
      </c>
      <c r="M302" s="3">
        <v>3</v>
      </c>
      <c r="N302" s="3">
        <v>11</v>
      </c>
      <c r="O302" s="3">
        <v>0</v>
      </c>
      <c r="P302" s="3">
        <f t="shared" si="0"/>
        <v>0</v>
      </c>
      <c r="Q302" s="3">
        <f t="shared" si="1"/>
        <v>78.5714285714286</v>
      </c>
      <c r="R302" s="3">
        <f t="shared" si="2"/>
        <v>0</v>
      </c>
      <c r="S302" s="11">
        <f>AVERAGE(Q302:Q305)</f>
        <v>94.6428571428571</v>
      </c>
      <c r="T302" s="7">
        <f>AVERAGE(R302:R305)</f>
        <v>0</v>
      </c>
      <c r="U302" s="8">
        <f>(L302+L303+L304+L305+O302+O303+O304+O305)/(K302+K303+K304+K305)*100</f>
        <v>53</v>
      </c>
    </row>
    <row r="303" ht="13.5" customHeight="1" spans="1:19">
      <c r="A303" s="4" t="s">
        <v>46</v>
      </c>
      <c r="B303" s="3">
        <v>1270</v>
      </c>
      <c r="C303" s="3">
        <v>8757</v>
      </c>
      <c r="D303" s="3">
        <v>0.1</v>
      </c>
      <c r="E303" s="4" t="s">
        <v>48</v>
      </c>
      <c r="F303" s="4" t="s">
        <v>108</v>
      </c>
      <c r="G303" s="3" t="s">
        <v>125</v>
      </c>
      <c r="H303" s="4" t="s">
        <v>25</v>
      </c>
      <c r="I303" s="4" t="s">
        <v>26</v>
      </c>
      <c r="J303" s="3">
        <v>2</v>
      </c>
      <c r="K303" s="3">
        <v>25</v>
      </c>
      <c r="L303" s="3">
        <v>13</v>
      </c>
      <c r="M303" s="3">
        <v>0</v>
      </c>
      <c r="N303" s="3">
        <v>12</v>
      </c>
      <c r="O303" s="3">
        <v>0</v>
      </c>
      <c r="P303" s="3">
        <f t="shared" si="0"/>
        <v>0</v>
      </c>
      <c r="Q303" s="3">
        <f t="shared" si="1"/>
        <v>100</v>
      </c>
      <c r="R303" s="3">
        <f t="shared" si="2"/>
        <v>0</v>
      </c>
      <c r="S303" s="11"/>
    </row>
    <row r="304" ht="13.5" customHeight="1" spans="1:19">
      <c r="A304" s="4" t="s">
        <v>46</v>
      </c>
      <c r="B304" s="3">
        <v>1270</v>
      </c>
      <c r="C304" s="3">
        <v>8757</v>
      </c>
      <c r="D304" s="3">
        <v>0.1</v>
      </c>
      <c r="E304" s="4" t="s">
        <v>48</v>
      </c>
      <c r="F304" s="4" t="s">
        <v>108</v>
      </c>
      <c r="G304" s="3" t="s">
        <v>125</v>
      </c>
      <c r="H304" s="4" t="s">
        <v>25</v>
      </c>
      <c r="I304" s="4" t="s">
        <v>26</v>
      </c>
      <c r="J304" s="3">
        <v>3</v>
      </c>
      <c r="K304" s="3">
        <v>25</v>
      </c>
      <c r="L304" s="3">
        <v>17</v>
      </c>
      <c r="M304" s="3">
        <v>0</v>
      </c>
      <c r="N304" s="3">
        <v>8</v>
      </c>
      <c r="O304" s="3">
        <v>0</v>
      </c>
      <c r="P304" s="3">
        <f t="shared" si="0"/>
        <v>0</v>
      </c>
      <c r="Q304" s="3">
        <f t="shared" si="1"/>
        <v>100</v>
      </c>
      <c r="R304" s="3">
        <f t="shared" si="2"/>
        <v>0</v>
      </c>
      <c r="S304" s="11"/>
    </row>
    <row r="305" ht="13.5" customHeight="1" spans="1:19">
      <c r="A305" s="4" t="s">
        <v>46</v>
      </c>
      <c r="B305" s="3">
        <v>1270</v>
      </c>
      <c r="C305" s="3">
        <v>8757</v>
      </c>
      <c r="D305" s="3">
        <v>0.1</v>
      </c>
      <c r="E305" s="4" t="s">
        <v>48</v>
      </c>
      <c r="F305" s="4" t="s">
        <v>108</v>
      </c>
      <c r="G305" s="3" t="s">
        <v>125</v>
      </c>
      <c r="H305" s="4" t="s">
        <v>25</v>
      </c>
      <c r="I305" s="4" t="s">
        <v>26</v>
      </c>
      <c r="J305" s="3">
        <v>4</v>
      </c>
      <c r="K305" s="3">
        <v>25</v>
      </c>
      <c r="L305" s="3">
        <v>12</v>
      </c>
      <c r="M305" s="3">
        <v>0</v>
      </c>
      <c r="N305" s="3">
        <v>13</v>
      </c>
      <c r="O305" s="3">
        <v>0</v>
      </c>
      <c r="P305" s="3">
        <f t="shared" si="0"/>
        <v>0</v>
      </c>
      <c r="Q305" s="3">
        <f t="shared" si="1"/>
        <v>100</v>
      </c>
      <c r="R305" s="3">
        <f t="shared" si="2"/>
        <v>0</v>
      </c>
      <c r="S305" s="11"/>
    </row>
    <row r="306" ht="13.5" customHeight="1" spans="1:21">
      <c r="A306" s="4" t="s">
        <v>60</v>
      </c>
      <c r="B306" s="3">
        <v>1330</v>
      </c>
      <c r="C306" s="3">
        <v>9133</v>
      </c>
      <c r="D306" s="3">
        <v>2</v>
      </c>
      <c r="E306" s="4" t="s">
        <v>22</v>
      </c>
      <c r="F306" s="4" t="s">
        <v>106</v>
      </c>
      <c r="G306" s="4" t="s">
        <v>107</v>
      </c>
      <c r="H306" s="4" t="s">
        <v>25</v>
      </c>
      <c r="I306" s="4" t="s">
        <v>26</v>
      </c>
      <c r="J306" s="3">
        <v>1</v>
      </c>
      <c r="K306" s="3">
        <v>25</v>
      </c>
      <c r="L306" s="3">
        <v>24</v>
      </c>
      <c r="M306" s="3">
        <v>1</v>
      </c>
      <c r="N306" s="3">
        <v>0</v>
      </c>
      <c r="O306" s="3">
        <v>0</v>
      </c>
      <c r="P306" s="3">
        <f t="shared" si="0"/>
        <v>0</v>
      </c>
      <c r="Q306" s="3">
        <f t="shared" si="1"/>
        <v>96</v>
      </c>
      <c r="R306" s="3">
        <f t="shared" si="2"/>
        <v>0</v>
      </c>
      <c r="S306" s="11">
        <f>AVERAGE(Q306:Q309)</f>
        <v>97.9583333333333</v>
      </c>
      <c r="T306" s="7">
        <f>AVERAGE(R306:R309)</f>
        <v>1.04166666666667</v>
      </c>
      <c r="U306" s="8">
        <f>(L306+L307+L308+L309+O306+O307+O308+O309)/(K306+K307+K308+K309)*100</f>
        <v>98</v>
      </c>
    </row>
    <row r="307" ht="13.5" customHeight="1" spans="1:19">
      <c r="A307" s="4" t="s">
        <v>60</v>
      </c>
      <c r="B307" s="3">
        <v>1330</v>
      </c>
      <c r="C307" s="3">
        <v>9133</v>
      </c>
      <c r="D307" s="3">
        <v>2</v>
      </c>
      <c r="E307" s="4" t="s">
        <v>22</v>
      </c>
      <c r="F307" s="4" t="s">
        <v>106</v>
      </c>
      <c r="G307" s="4" t="s">
        <v>107</v>
      </c>
      <c r="H307" s="4" t="s">
        <v>25</v>
      </c>
      <c r="I307" s="4" t="s">
        <v>26</v>
      </c>
      <c r="J307" s="3">
        <v>2</v>
      </c>
      <c r="K307" s="3">
        <v>25</v>
      </c>
      <c r="L307" s="3">
        <v>23</v>
      </c>
      <c r="M307" s="3">
        <v>0</v>
      </c>
      <c r="N307" s="3">
        <v>1</v>
      </c>
      <c r="O307" s="3">
        <v>1</v>
      </c>
      <c r="P307" s="3">
        <f t="shared" si="0"/>
        <v>0</v>
      </c>
      <c r="Q307" s="3">
        <f t="shared" si="1"/>
        <v>95.8333333333333</v>
      </c>
      <c r="R307" s="3">
        <f t="shared" si="2"/>
        <v>4.16666666666667</v>
      </c>
      <c r="S307" s="11"/>
    </row>
    <row r="308" ht="13.5" customHeight="1" spans="1:19">
      <c r="A308" s="4" t="s">
        <v>60</v>
      </c>
      <c r="B308" s="3">
        <v>1330</v>
      </c>
      <c r="C308" s="3">
        <v>9133</v>
      </c>
      <c r="D308" s="3">
        <v>2</v>
      </c>
      <c r="E308" s="4" t="s">
        <v>22</v>
      </c>
      <c r="F308" s="4" t="s">
        <v>106</v>
      </c>
      <c r="G308" s="4" t="s">
        <v>107</v>
      </c>
      <c r="H308" s="4" t="s">
        <v>25</v>
      </c>
      <c r="I308" s="4" t="s">
        <v>26</v>
      </c>
      <c r="J308" s="3">
        <v>3</v>
      </c>
      <c r="K308" s="3">
        <v>25</v>
      </c>
      <c r="L308" s="3">
        <v>25</v>
      </c>
      <c r="M308" s="3">
        <v>0</v>
      </c>
      <c r="N308" s="3">
        <v>0</v>
      </c>
      <c r="O308" s="3">
        <v>0</v>
      </c>
      <c r="P308" s="3">
        <f t="shared" si="0"/>
        <v>0</v>
      </c>
      <c r="Q308" s="3">
        <f t="shared" si="1"/>
        <v>100</v>
      </c>
      <c r="R308" s="3">
        <f t="shared" si="2"/>
        <v>0</v>
      </c>
      <c r="S308" s="11"/>
    </row>
    <row r="309" ht="13.5" customHeight="1" spans="1:19">
      <c r="A309" s="4" t="s">
        <v>60</v>
      </c>
      <c r="B309" s="3">
        <v>1330</v>
      </c>
      <c r="C309" s="3">
        <v>9133</v>
      </c>
      <c r="D309" s="3">
        <v>2</v>
      </c>
      <c r="E309" s="4" t="s">
        <v>22</v>
      </c>
      <c r="F309" s="4" t="s">
        <v>106</v>
      </c>
      <c r="G309" s="4" t="s">
        <v>107</v>
      </c>
      <c r="H309" s="4" t="s">
        <v>25</v>
      </c>
      <c r="I309" s="4" t="s">
        <v>26</v>
      </c>
      <c r="J309" s="3">
        <v>4</v>
      </c>
      <c r="K309" s="3">
        <v>25</v>
      </c>
      <c r="L309" s="3">
        <v>25</v>
      </c>
      <c r="M309" s="3">
        <v>0</v>
      </c>
      <c r="N309" s="3">
        <v>0</v>
      </c>
      <c r="O309" s="3">
        <v>0</v>
      </c>
      <c r="P309" s="3">
        <f t="shared" si="0"/>
        <v>0</v>
      </c>
      <c r="Q309" s="3">
        <f t="shared" si="1"/>
        <v>100</v>
      </c>
      <c r="R309" s="3">
        <f t="shared" si="2"/>
        <v>0</v>
      </c>
      <c r="S309" s="11"/>
    </row>
    <row r="310" ht="13.5" customHeight="1" spans="1:21">
      <c r="A310" s="4" t="s">
        <v>57</v>
      </c>
      <c r="B310" s="3">
        <v>1847</v>
      </c>
      <c r="C310" s="3">
        <v>10763</v>
      </c>
      <c r="D310" s="3">
        <v>0.1</v>
      </c>
      <c r="E310" s="4" t="s">
        <v>22</v>
      </c>
      <c r="F310" s="4" t="s">
        <v>126</v>
      </c>
      <c r="G310" s="4" t="s">
        <v>127</v>
      </c>
      <c r="H310" s="4" t="s">
        <v>25</v>
      </c>
      <c r="I310" s="4" t="s">
        <v>26</v>
      </c>
      <c r="J310" s="3">
        <v>1</v>
      </c>
      <c r="K310" s="3">
        <v>25</v>
      </c>
      <c r="L310" s="3">
        <v>12</v>
      </c>
      <c r="M310" s="3">
        <v>13</v>
      </c>
      <c r="N310" s="3">
        <v>0</v>
      </c>
      <c r="O310" s="3">
        <v>0</v>
      </c>
      <c r="P310" s="3">
        <f t="shared" si="0"/>
        <v>0</v>
      </c>
      <c r="Q310" s="3">
        <f t="shared" si="1"/>
        <v>48</v>
      </c>
      <c r="R310" s="3">
        <f t="shared" si="2"/>
        <v>0</v>
      </c>
      <c r="S310" s="11">
        <f>AVERAGE(Q310:Q313)</f>
        <v>38</v>
      </c>
      <c r="T310" s="7">
        <f>AVERAGE(R310:R313)</f>
        <v>0</v>
      </c>
      <c r="U310" s="8">
        <f>(L310+L311+L312+L313+O310+O311+O312+O313)/(K310+K311+K312+K313)*100</f>
        <v>38</v>
      </c>
    </row>
    <row r="311" ht="13.5" customHeight="1" spans="1:19">
      <c r="A311" s="4" t="s">
        <v>57</v>
      </c>
      <c r="B311" s="3">
        <v>1847</v>
      </c>
      <c r="C311" s="3">
        <v>10763</v>
      </c>
      <c r="D311" s="3">
        <v>0.1</v>
      </c>
      <c r="E311" s="4" t="s">
        <v>22</v>
      </c>
      <c r="F311" s="4" t="s">
        <v>126</v>
      </c>
      <c r="G311" s="4" t="s">
        <v>127</v>
      </c>
      <c r="H311" s="4" t="s">
        <v>25</v>
      </c>
      <c r="I311" s="4" t="s">
        <v>26</v>
      </c>
      <c r="J311" s="3">
        <v>2</v>
      </c>
      <c r="K311" s="3">
        <v>25</v>
      </c>
      <c r="L311" s="3">
        <v>11</v>
      </c>
      <c r="M311" s="3">
        <v>14</v>
      </c>
      <c r="N311" s="3">
        <v>0</v>
      </c>
      <c r="O311" s="3">
        <v>0</v>
      </c>
      <c r="P311" s="3">
        <f t="shared" si="0"/>
        <v>0</v>
      </c>
      <c r="Q311" s="3">
        <f t="shared" si="1"/>
        <v>44</v>
      </c>
      <c r="R311" s="3">
        <f t="shared" si="2"/>
        <v>0</v>
      </c>
      <c r="S311" s="11"/>
    </row>
    <row r="312" ht="13.5" customHeight="1" spans="1:19">
      <c r="A312" s="4" t="s">
        <v>57</v>
      </c>
      <c r="B312" s="3">
        <v>1847</v>
      </c>
      <c r="C312" s="3">
        <v>10763</v>
      </c>
      <c r="D312" s="3">
        <v>0.1</v>
      </c>
      <c r="E312" s="4" t="s">
        <v>22</v>
      </c>
      <c r="F312" s="4" t="s">
        <v>126</v>
      </c>
      <c r="G312" s="4" t="s">
        <v>127</v>
      </c>
      <c r="H312" s="4" t="s">
        <v>25</v>
      </c>
      <c r="I312" s="4" t="s">
        <v>26</v>
      </c>
      <c r="J312" s="3">
        <v>3</v>
      </c>
      <c r="K312" s="3">
        <v>25</v>
      </c>
      <c r="L312" s="3">
        <v>9</v>
      </c>
      <c r="M312" s="3">
        <v>16</v>
      </c>
      <c r="N312" s="3">
        <v>0</v>
      </c>
      <c r="O312" s="3">
        <v>0</v>
      </c>
      <c r="P312" s="3">
        <f t="shared" si="0"/>
        <v>0</v>
      </c>
      <c r="Q312" s="3">
        <f t="shared" si="1"/>
        <v>36</v>
      </c>
      <c r="R312" s="3">
        <f t="shared" si="2"/>
        <v>0</v>
      </c>
      <c r="S312" s="11"/>
    </row>
    <row r="313" ht="13.5" customHeight="1" spans="1:19">
      <c r="A313" s="4" t="s">
        <v>57</v>
      </c>
      <c r="B313" s="3">
        <v>1847</v>
      </c>
      <c r="C313" s="3">
        <v>10763</v>
      </c>
      <c r="D313" s="3">
        <v>0.1</v>
      </c>
      <c r="E313" s="4" t="s">
        <v>22</v>
      </c>
      <c r="F313" s="4" t="s">
        <v>126</v>
      </c>
      <c r="G313" s="4" t="s">
        <v>127</v>
      </c>
      <c r="H313" s="4" t="s">
        <v>25</v>
      </c>
      <c r="I313" s="4" t="s">
        <v>26</v>
      </c>
      <c r="J313" s="3">
        <v>4</v>
      </c>
      <c r="K313" s="3">
        <v>25</v>
      </c>
      <c r="L313" s="3">
        <v>6</v>
      </c>
      <c r="M313" s="3">
        <v>19</v>
      </c>
      <c r="N313" s="3">
        <v>0</v>
      </c>
      <c r="O313" s="3">
        <v>0</v>
      </c>
      <c r="P313" s="3">
        <f t="shared" si="0"/>
        <v>0</v>
      </c>
      <c r="Q313" s="3">
        <f t="shared" si="1"/>
        <v>24</v>
      </c>
      <c r="R313" s="3">
        <f t="shared" si="2"/>
        <v>0</v>
      </c>
      <c r="S313" s="11"/>
    </row>
    <row r="314" ht="13.5" customHeight="1" spans="1:21">
      <c r="A314" s="4" t="s">
        <v>66</v>
      </c>
      <c r="B314" s="3">
        <v>1153</v>
      </c>
      <c r="C314" s="3">
        <v>7684</v>
      </c>
      <c r="D314" s="3">
        <v>0.1</v>
      </c>
      <c r="E314" s="4" t="s">
        <v>22</v>
      </c>
      <c r="F314" s="4" t="s">
        <v>128</v>
      </c>
      <c r="G314" s="4" t="s">
        <v>129</v>
      </c>
      <c r="H314" s="4" t="s">
        <v>25</v>
      </c>
      <c r="I314" s="4" t="s">
        <v>26</v>
      </c>
      <c r="J314" s="3">
        <v>1</v>
      </c>
      <c r="K314" s="3">
        <v>25</v>
      </c>
      <c r="L314" s="3">
        <v>21</v>
      </c>
      <c r="M314" s="3">
        <v>0</v>
      </c>
      <c r="N314" s="3">
        <v>4</v>
      </c>
      <c r="O314" s="3">
        <v>0</v>
      </c>
      <c r="P314" s="3">
        <f t="shared" si="0"/>
        <v>0</v>
      </c>
      <c r="Q314" s="3">
        <f t="shared" si="1"/>
        <v>100</v>
      </c>
      <c r="R314" s="3">
        <f t="shared" si="2"/>
        <v>0</v>
      </c>
      <c r="S314" s="11">
        <f>AVERAGE(Q314:Q317)</f>
        <v>88.3794466403162</v>
      </c>
      <c r="T314" s="7">
        <f>AVERAGE(R314:R317)</f>
        <v>0</v>
      </c>
      <c r="U314" s="8">
        <f>(L314+L315+L316+L317+O314+O315+O316+O317)/(K314+K315+K316+K317)*100</f>
        <v>76</v>
      </c>
    </row>
    <row r="315" ht="13.5" customHeight="1" spans="1:19">
      <c r="A315" s="4" t="s">
        <v>66</v>
      </c>
      <c r="B315" s="3">
        <v>1153</v>
      </c>
      <c r="C315" s="3">
        <v>7684</v>
      </c>
      <c r="D315" s="3">
        <v>0.1</v>
      </c>
      <c r="E315" s="4" t="s">
        <v>22</v>
      </c>
      <c r="F315" s="4" t="s">
        <v>128</v>
      </c>
      <c r="G315" s="4" t="s">
        <v>129</v>
      </c>
      <c r="H315" s="4" t="s">
        <v>25</v>
      </c>
      <c r="I315" s="4" t="s">
        <v>26</v>
      </c>
      <c r="J315" s="3">
        <v>2</v>
      </c>
      <c r="K315" s="3">
        <v>25</v>
      </c>
      <c r="L315" s="3">
        <v>16</v>
      </c>
      <c r="M315" s="3">
        <v>4</v>
      </c>
      <c r="N315" s="3">
        <v>5</v>
      </c>
      <c r="O315" s="3">
        <v>0</v>
      </c>
      <c r="P315" s="3">
        <f t="shared" si="0"/>
        <v>0</v>
      </c>
      <c r="Q315" s="3">
        <f t="shared" si="1"/>
        <v>80</v>
      </c>
      <c r="R315" s="3">
        <f t="shared" si="2"/>
        <v>0</v>
      </c>
      <c r="S315" s="11"/>
    </row>
    <row r="316" ht="13.5" customHeight="1" spans="1:19">
      <c r="A316" s="4" t="s">
        <v>66</v>
      </c>
      <c r="B316" s="3">
        <v>1153</v>
      </c>
      <c r="C316" s="3">
        <v>7684</v>
      </c>
      <c r="D316" s="3">
        <v>0.1</v>
      </c>
      <c r="E316" s="4" t="s">
        <v>22</v>
      </c>
      <c r="F316" s="4" t="s">
        <v>128</v>
      </c>
      <c r="G316" s="4" t="s">
        <v>129</v>
      </c>
      <c r="H316" s="4" t="s">
        <v>25</v>
      </c>
      <c r="I316" s="4" t="s">
        <v>26</v>
      </c>
      <c r="J316" s="3">
        <v>3</v>
      </c>
      <c r="K316" s="3">
        <v>25</v>
      </c>
      <c r="L316" s="3">
        <v>20</v>
      </c>
      <c r="M316" s="3">
        <v>2</v>
      </c>
      <c r="N316" s="3">
        <v>3</v>
      </c>
      <c r="O316" s="3">
        <v>0</v>
      </c>
      <c r="P316" s="3">
        <f t="shared" si="0"/>
        <v>0</v>
      </c>
      <c r="Q316" s="3">
        <f t="shared" si="1"/>
        <v>90.9090909090909</v>
      </c>
      <c r="R316" s="3">
        <f t="shared" si="2"/>
        <v>0</v>
      </c>
      <c r="S316" s="11"/>
    </row>
    <row r="317" ht="13.5" customHeight="1" spans="1:19">
      <c r="A317" s="4" t="s">
        <v>66</v>
      </c>
      <c r="B317" s="3">
        <v>1153</v>
      </c>
      <c r="C317" s="3">
        <v>7684</v>
      </c>
      <c r="D317" s="3">
        <v>0.1</v>
      </c>
      <c r="E317" s="4" t="s">
        <v>22</v>
      </c>
      <c r="F317" s="4" t="s">
        <v>128</v>
      </c>
      <c r="G317" s="4" t="s">
        <v>129</v>
      </c>
      <c r="H317" s="4" t="s">
        <v>25</v>
      </c>
      <c r="I317" s="4" t="s">
        <v>26</v>
      </c>
      <c r="J317" s="3">
        <v>4</v>
      </c>
      <c r="K317" s="3">
        <v>25</v>
      </c>
      <c r="L317" s="3">
        <v>19</v>
      </c>
      <c r="M317" s="3">
        <v>4</v>
      </c>
      <c r="N317" s="3">
        <v>2</v>
      </c>
      <c r="O317" s="3">
        <v>0</v>
      </c>
      <c r="P317" s="3">
        <f t="shared" si="0"/>
        <v>0</v>
      </c>
      <c r="Q317" s="3">
        <f t="shared" si="1"/>
        <v>82.6086956521739</v>
      </c>
      <c r="R317" s="3">
        <f t="shared" si="2"/>
        <v>0</v>
      </c>
      <c r="S317" s="11"/>
    </row>
    <row r="318" ht="13.5" customHeight="1" spans="1:21">
      <c r="A318" s="4" t="s">
        <v>120</v>
      </c>
      <c r="B318" s="3">
        <v>1147</v>
      </c>
      <c r="C318" s="3">
        <v>7497</v>
      </c>
      <c r="D318" s="3">
        <v>0.1</v>
      </c>
      <c r="E318" s="4" t="s">
        <v>33</v>
      </c>
      <c r="F318" s="4" t="s">
        <v>67</v>
      </c>
      <c r="G318" s="4" t="s">
        <v>68</v>
      </c>
      <c r="H318" s="4" t="s">
        <v>40</v>
      </c>
      <c r="I318" s="4" t="s">
        <v>26</v>
      </c>
      <c r="J318" s="3">
        <v>1</v>
      </c>
      <c r="K318" s="3">
        <v>25</v>
      </c>
      <c r="L318" s="3">
        <v>11</v>
      </c>
      <c r="M318" s="3">
        <v>6</v>
      </c>
      <c r="N318" s="3">
        <v>0</v>
      </c>
      <c r="O318" s="3">
        <v>8</v>
      </c>
      <c r="P318" s="3">
        <f t="shared" si="0"/>
        <v>0</v>
      </c>
      <c r="Q318" s="3">
        <f t="shared" si="1"/>
        <v>44</v>
      </c>
      <c r="R318" s="3">
        <f t="shared" si="2"/>
        <v>32</v>
      </c>
      <c r="S318" s="11">
        <f>AVERAGE(Q318:Q321)</f>
        <v>62</v>
      </c>
      <c r="T318" s="7">
        <f>AVERAGE(R318:R321)</f>
        <v>24</v>
      </c>
      <c r="U318" s="8">
        <f>(L318+L319+L320+L321+O318+O319+O320+O321)/(K318+K319+K320+K321)*100</f>
        <v>86</v>
      </c>
    </row>
    <row r="319" ht="13.5" customHeight="1" spans="1:19">
      <c r="A319" s="4" t="s">
        <v>120</v>
      </c>
      <c r="B319" s="3">
        <v>1147</v>
      </c>
      <c r="C319" s="3">
        <v>7497</v>
      </c>
      <c r="D319" s="3">
        <v>0.1</v>
      </c>
      <c r="E319" s="4" t="s">
        <v>33</v>
      </c>
      <c r="F319" s="4" t="s">
        <v>67</v>
      </c>
      <c r="G319" s="4" t="s">
        <v>68</v>
      </c>
      <c r="H319" s="4" t="s">
        <v>40</v>
      </c>
      <c r="I319" s="4" t="s">
        <v>26</v>
      </c>
      <c r="J319" s="3">
        <v>2</v>
      </c>
      <c r="K319" s="3">
        <v>25</v>
      </c>
      <c r="L319" s="3">
        <v>18</v>
      </c>
      <c r="M319" s="3">
        <v>2</v>
      </c>
      <c r="N319" s="3">
        <v>0</v>
      </c>
      <c r="O319" s="3">
        <v>5</v>
      </c>
      <c r="P319" s="3">
        <f t="shared" si="0"/>
        <v>0</v>
      </c>
      <c r="Q319" s="3">
        <f t="shared" si="1"/>
        <v>72</v>
      </c>
      <c r="R319" s="3">
        <f t="shared" si="2"/>
        <v>20</v>
      </c>
      <c r="S319" s="11"/>
    </row>
    <row r="320" ht="13.5" customHeight="1" spans="1:19">
      <c r="A320" s="4" t="s">
        <v>120</v>
      </c>
      <c r="B320" s="3">
        <v>1147</v>
      </c>
      <c r="C320" s="3">
        <v>7497</v>
      </c>
      <c r="D320" s="3">
        <v>0.1</v>
      </c>
      <c r="E320" s="4" t="s">
        <v>33</v>
      </c>
      <c r="F320" s="4" t="s">
        <v>67</v>
      </c>
      <c r="G320" s="4" t="s">
        <v>68</v>
      </c>
      <c r="H320" s="4" t="s">
        <v>40</v>
      </c>
      <c r="I320" s="4" t="s">
        <v>26</v>
      </c>
      <c r="J320" s="3">
        <v>3</v>
      </c>
      <c r="K320" s="3">
        <v>25</v>
      </c>
      <c r="L320" s="3">
        <v>15</v>
      </c>
      <c r="M320" s="3">
        <v>3</v>
      </c>
      <c r="N320" s="3">
        <v>0</v>
      </c>
      <c r="O320" s="3">
        <v>7</v>
      </c>
      <c r="P320" s="3">
        <f t="shared" si="0"/>
        <v>0</v>
      </c>
      <c r="Q320" s="3">
        <f t="shared" si="1"/>
        <v>60</v>
      </c>
      <c r="R320" s="3">
        <f t="shared" si="2"/>
        <v>28</v>
      </c>
      <c r="S320" s="11"/>
    </row>
    <row r="321" ht="13.5" customHeight="1" spans="1:19">
      <c r="A321" s="4" t="s">
        <v>120</v>
      </c>
      <c r="B321" s="3">
        <v>1147</v>
      </c>
      <c r="C321" s="3">
        <v>7497</v>
      </c>
      <c r="D321" s="3">
        <v>0.1</v>
      </c>
      <c r="E321" s="4" t="s">
        <v>33</v>
      </c>
      <c r="F321" s="4" t="s">
        <v>67</v>
      </c>
      <c r="G321" s="4" t="s">
        <v>68</v>
      </c>
      <c r="H321" s="4" t="s">
        <v>40</v>
      </c>
      <c r="I321" s="4" t="s">
        <v>26</v>
      </c>
      <c r="J321" s="3">
        <v>4</v>
      </c>
      <c r="K321" s="3">
        <v>25</v>
      </c>
      <c r="L321" s="3">
        <v>18</v>
      </c>
      <c r="M321" s="3">
        <v>3</v>
      </c>
      <c r="N321" s="3">
        <v>0</v>
      </c>
      <c r="O321" s="3">
        <v>4</v>
      </c>
      <c r="P321" s="3">
        <f t="shared" si="0"/>
        <v>0</v>
      </c>
      <c r="Q321" s="3">
        <f t="shared" si="1"/>
        <v>72</v>
      </c>
      <c r="R321" s="3">
        <f t="shared" si="2"/>
        <v>16</v>
      </c>
      <c r="S321" s="11"/>
    </row>
    <row r="322" ht="13.5" customHeight="1" spans="1:21">
      <c r="A322" s="4" t="s">
        <v>121</v>
      </c>
      <c r="B322" s="3">
        <v>1017</v>
      </c>
      <c r="C322" s="3">
        <v>5556</v>
      </c>
      <c r="D322" s="3">
        <v>3</v>
      </c>
      <c r="E322" s="4" t="s">
        <v>33</v>
      </c>
      <c r="F322" s="4" t="s">
        <v>64</v>
      </c>
      <c r="G322" s="4" t="s">
        <v>65</v>
      </c>
      <c r="H322" s="4" t="s">
        <v>40</v>
      </c>
      <c r="I322" s="4" t="s">
        <v>26</v>
      </c>
      <c r="J322" s="3">
        <v>1</v>
      </c>
      <c r="K322" s="3">
        <v>25</v>
      </c>
      <c r="L322" s="3">
        <v>12</v>
      </c>
      <c r="M322" s="3">
        <v>4</v>
      </c>
      <c r="N322" s="3">
        <v>2</v>
      </c>
      <c r="O322" s="3">
        <v>7</v>
      </c>
      <c r="P322" s="3">
        <f t="shared" si="0"/>
        <v>0</v>
      </c>
      <c r="Q322" s="3">
        <f t="shared" si="1"/>
        <v>52.1739130434783</v>
      </c>
      <c r="R322" s="3">
        <f t="shared" si="2"/>
        <v>30.4347826086957</v>
      </c>
      <c r="S322" s="11">
        <f>AVERAGE(Q322:Q325)</f>
        <v>38.0434782608696</v>
      </c>
      <c r="T322" s="7">
        <f>AVERAGE(R322:R325)</f>
        <v>44.6086956521739</v>
      </c>
      <c r="U322" s="8">
        <f>(L322+L323+L324+L325+O322+O323+O324+O325)/(K322+K323+K324+K325)*100</f>
        <v>81</v>
      </c>
    </row>
    <row r="323" ht="13.5" customHeight="1" spans="1:19">
      <c r="A323" s="4" t="s">
        <v>121</v>
      </c>
      <c r="B323" s="3">
        <v>1017</v>
      </c>
      <c r="C323" s="3">
        <v>5556</v>
      </c>
      <c r="D323" s="3">
        <v>3</v>
      </c>
      <c r="E323" s="4" t="s">
        <v>33</v>
      </c>
      <c r="F323" s="4" t="s">
        <v>64</v>
      </c>
      <c r="G323" s="4" t="s">
        <v>65</v>
      </c>
      <c r="H323" s="4" t="s">
        <v>40</v>
      </c>
      <c r="I323" s="4" t="s">
        <v>26</v>
      </c>
      <c r="J323" s="3">
        <v>2</v>
      </c>
      <c r="K323" s="3">
        <v>25</v>
      </c>
      <c r="L323" s="3">
        <v>9</v>
      </c>
      <c r="M323" s="3">
        <v>5</v>
      </c>
      <c r="N323" s="3">
        <v>0</v>
      </c>
      <c r="O323" s="3">
        <v>11</v>
      </c>
      <c r="P323" s="3">
        <f t="shared" si="0"/>
        <v>0</v>
      </c>
      <c r="Q323" s="3">
        <f t="shared" si="1"/>
        <v>36</v>
      </c>
      <c r="R323" s="3">
        <f t="shared" si="2"/>
        <v>44</v>
      </c>
      <c r="S323" s="11"/>
    </row>
    <row r="324" ht="13.5" customHeight="1" spans="1:19">
      <c r="A324" s="4" t="s">
        <v>121</v>
      </c>
      <c r="B324" s="3">
        <v>1017</v>
      </c>
      <c r="C324" s="3">
        <v>5556</v>
      </c>
      <c r="D324" s="3">
        <v>3</v>
      </c>
      <c r="E324" s="4" t="s">
        <v>33</v>
      </c>
      <c r="F324" s="4" t="s">
        <v>64</v>
      </c>
      <c r="G324" s="4" t="s">
        <v>65</v>
      </c>
      <c r="H324" s="4" t="s">
        <v>40</v>
      </c>
      <c r="I324" s="4" t="s">
        <v>26</v>
      </c>
      <c r="J324" s="3">
        <v>3</v>
      </c>
      <c r="K324" s="3">
        <v>25</v>
      </c>
      <c r="L324" s="3">
        <v>8</v>
      </c>
      <c r="M324" s="3">
        <v>4</v>
      </c>
      <c r="N324" s="3">
        <v>0</v>
      </c>
      <c r="O324" s="3">
        <v>13</v>
      </c>
      <c r="P324" s="3">
        <f t="shared" si="0"/>
        <v>0</v>
      </c>
      <c r="Q324" s="3">
        <f t="shared" si="1"/>
        <v>32</v>
      </c>
      <c r="R324" s="3">
        <f t="shared" si="2"/>
        <v>52</v>
      </c>
      <c r="S324" s="11"/>
    </row>
    <row r="325" ht="13.5" customHeight="1" spans="1:19">
      <c r="A325" s="4" t="s">
        <v>121</v>
      </c>
      <c r="B325" s="3">
        <v>1017</v>
      </c>
      <c r="C325" s="3">
        <v>5556</v>
      </c>
      <c r="D325" s="3">
        <v>3</v>
      </c>
      <c r="E325" s="4" t="s">
        <v>33</v>
      </c>
      <c r="F325" s="4" t="s">
        <v>64</v>
      </c>
      <c r="G325" s="4" t="s">
        <v>65</v>
      </c>
      <c r="H325" s="4" t="s">
        <v>40</v>
      </c>
      <c r="I325" s="4" t="s">
        <v>26</v>
      </c>
      <c r="J325" s="3">
        <v>4</v>
      </c>
      <c r="K325" s="3">
        <v>25</v>
      </c>
      <c r="L325" s="3">
        <v>8</v>
      </c>
      <c r="M325" s="3">
        <v>4</v>
      </c>
      <c r="N325" s="3">
        <v>0</v>
      </c>
      <c r="O325" s="3">
        <v>13</v>
      </c>
      <c r="P325" s="3">
        <f t="shared" si="0"/>
        <v>0</v>
      </c>
      <c r="Q325" s="3">
        <f t="shared" si="1"/>
        <v>32</v>
      </c>
      <c r="R325" s="3">
        <f t="shared" si="2"/>
        <v>52</v>
      </c>
      <c r="S325" s="11"/>
    </row>
    <row r="326" ht="13.5" customHeight="1" spans="1:21">
      <c r="A326" s="4" t="s">
        <v>91</v>
      </c>
      <c r="B326" s="3">
        <v>1007</v>
      </c>
      <c r="C326" s="3">
        <v>4939</v>
      </c>
      <c r="D326" s="3">
        <v>0.1</v>
      </c>
      <c r="E326" s="4" t="s">
        <v>130</v>
      </c>
      <c r="F326" s="4" t="s">
        <v>131</v>
      </c>
      <c r="G326" s="4" t="s">
        <v>132</v>
      </c>
      <c r="H326" s="4" t="s">
        <v>40</v>
      </c>
      <c r="I326" s="4" t="s">
        <v>26</v>
      </c>
      <c r="J326" s="3">
        <v>1</v>
      </c>
      <c r="K326" s="3">
        <v>25</v>
      </c>
      <c r="L326" s="3">
        <v>0</v>
      </c>
      <c r="M326" s="3">
        <v>0</v>
      </c>
      <c r="N326" s="3">
        <v>0</v>
      </c>
      <c r="O326" s="3">
        <v>25</v>
      </c>
      <c r="P326" s="3">
        <f t="shared" si="0"/>
        <v>0</v>
      </c>
      <c r="Q326" s="3">
        <f t="shared" si="1"/>
        <v>0</v>
      </c>
      <c r="R326" s="3">
        <f t="shared" si="2"/>
        <v>100</v>
      </c>
      <c r="S326" s="11">
        <f>AVERAGE(Q326:Q329)</f>
        <v>2</v>
      </c>
      <c r="T326" s="7">
        <f>AVERAGE(R326:R329)</f>
        <v>98</v>
      </c>
      <c r="U326" s="8">
        <f>(L326+L327+L328+L329+O326+O327+O328+O329)/(K326+K327+K328+K329)*100</f>
        <v>100</v>
      </c>
    </row>
    <row r="327" ht="13.5" customHeight="1" spans="1:19">
      <c r="A327" s="4" t="s">
        <v>91</v>
      </c>
      <c r="B327" s="3">
        <v>1007</v>
      </c>
      <c r="C327" s="3">
        <v>4939</v>
      </c>
      <c r="D327" s="3">
        <v>0.1</v>
      </c>
      <c r="E327" s="4" t="s">
        <v>130</v>
      </c>
      <c r="F327" s="4" t="s">
        <v>131</v>
      </c>
      <c r="G327" s="4" t="s">
        <v>132</v>
      </c>
      <c r="H327" s="4" t="s">
        <v>40</v>
      </c>
      <c r="I327" s="4" t="s">
        <v>26</v>
      </c>
      <c r="J327" s="3">
        <v>2</v>
      </c>
      <c r="K327" s="3">
        <v>25</v>
      </c>
      <c r="L327" s="3">
        <v>0</v>
      </c>
      <c r="M327" s="3">
        <v>0</v>
      </c>
      <c r="N327" s="3">
        <v>0</v>
      </c>
      <c r="O327" s="3">
        <v>25</v>
      </c>
      <c r="P327" s="3">
        <f t="shared" si="0"/>
        <v>0</v>
      </c>
      <c r="Q327" s="3">
        <f t="shared" si="1"/>
        <v>0</v>
      </c>
      <c r="R327" s="3">
        <f t="shared" si="2"/>
        <v>100</v>
      </c>
      <c r="S327" s="11"/>
    </row>
    <row r="328" ht="13.5" customHeight="1" spans="1:19">
      <c r="A328" s="4" t="s">
        <v>91</v>
      </c>
      <c r="B328" s="3">
        <v>1007</v>
      </c>
      <c r="C328" s="3">
        <v>4939</v>
      </c>
      <c r="D328" s="3">
        <v>0.1</v>
      </c>
      <c r="E328" s="4" t="s">
        <v>130</v>
      </c>
      <c r="F328" s="4" t="s">
        <v>131</v>
      </c>
      <c r="G328" s="4" t="s">
        <v>132</v>
      </c>
      <c r="H328" s="4" t="s">
        <v>40</v>
      </c>
      <c r="I328" s="4" t="s">
        <v>26</v>
      </c>
      <c r="J328" s="3">
        <v>3</v>
      </c>
      <c r="K328" s="3">
        <v>25</v>
      </c>
      <c r="L328" s="3">
        <v>0</v>
      </c>
      <c r="M328" s="3">
        <v>0</v>
      </c>
      <c r="N328" s="3">
        <v>0</v>
      </c>
      <c r="O328" s="3">
        <v>25</v>
      </c>
      <c r="P328" s="3">
        <f t="shared" si="0"/>
        <v>0</v>
      </c>
      <c r="Q328" s="3">
        <f t="shared" si="1"/>
        <v>0</v>
      </c>
      <c r="R328" s="3">
        <f t="shared" si="2"/>
        <v>100</v>
      </c>
      <c r="S328" s="11"/>
    </row>
    <row r="329" ht="13.5" customHeight="1" spans="1:19">
      <c r="A329" s="4" t="s">
        <v>91</v>
      </c>
      <c r="B329" s="3">
        <v>1007</v>
      </c>
      <c r="C329" s="3">
        <v>4939</v>
      </c>
      <c r="D329" s="3">
        <v>0.1</v>
      </c>
      <c r="E329" s="4" t="s">
        <v>130</v>
      </c>
      <c r="F329" s="4" t="s">
        <v>131</v>
      </c>
      <c r="G329" s="4" t="s">
        <v>132</v>
      </c>
      <c r="H329" s="4" t="s">
        <v>40</v>
      </c>
      <c r="I329" s="4" t="s">
        <v>26</v>
      </c>
      <c r="J329" s="3">
        <v>4</v>
      </c>
      <c r="K329" s="3">
        <v>25</v>
      </c>
      <c r="L329" s="3">
        <v>2</v>
      </c>
      <c r="M329" s="3">
        <v>0</v>
      </c>
      <c r="N329" s="3">
        <v>0</v>
      </c>
      <c r="O329" s="3">
        <v>23</v>
      </c>
      <c r="P329" s="3">
        <f t="shared" si="0"/>
        <v>0</v>
      </c>
      <c r="Q329" s="3">
        <f t="shared" si="1"/>
        <v>8</v>
      </c>
      <c r="R329" s="3">
        <f t="shared" si="2"/>
        <v>92</v>
      </c>
      <c r="S329" s="11"/>
    </row>
    <row r="330" ht="13.5" customHeight="1" spans="1:21">
      <c r="A330" s="4" t="s">
        <v>32</v>
      </c>
      <c r="B330" s="3">
        <v>1342</v>
      </c>
      <c r="C330" s="3">
        <v>9074</v>
      </c>
      <c r="D330" s="3">
        <v>0.1</v>
      </c>
      <c r="E330" s="4" t="s">
        <v>52</v>
      </c>
      <c r="F330" s="4" t="s">
        <v>53</v>
      </c>
      <c r="G330" s="4" t="s">
        <v>54</v>
      </c>
      <c r="H330" s="4" t="s">
        <v>40</v>
      </c>
      <c r="I330" s="4" t="s">
        <v>26</v>
      </c>
      <c r="J330" s="3">
        <v>1</v>
      </c>
      <c r="K330" s="3">
        <v>25</v>
      </c>
      <c r="L330" s="3">
        <v>17</v>
      </c>
      <c r="M330" s="3">
        <v>2</v>
      </c>
      <c r="N330" s="3">
        <v>1</v>
      </c>
      <c r="O330" s="3">
        <v>5</v>
      </c>
      <c r="P330" s="3">
        <f t="shared" si="0"/>
        <v>0</v>
      </c>
      <c r="Q330" s="3">
        <f t="shared" si="1"/>
        <v>70.8333333333333</v>
      </c>
      <c r="R330" s="3">
        <f t="shared" si="2"/>
        <v>20.8333333333333</v>
      </c>
      <c r="S330" s="11">
        <f>AVERAGE(Q330:Q333)</f>
        <v>58.8035714285714</v>
      </c>
      <c r="T330" s="7">
        <f>AVERAGE(R330:R333)</f>
        <v>37.1130952380952</v>
      </c>
      <c r="U330" s="8">
        <f>(L330+L331+L332+L333+O330+O331+O332+O333)/(K330+K331+K332+K333)*100</f>
        <v>91</v>
      </c>
    </row>
    <row r="331" ht="13.5" customHeight="1" spans="1:19">
      <c r="A331" s="4" t="s">
        <v>32</v>
      </c>
      <c r="B331" s="3">
        <v>1342</v>
      </c>
      <c r="C331" s="3">
        <v>9074</v>
      </c>
      <c r="D331" s="3">
        <v>0.1</v>
      </c>
      <c r="E331" s="4" t="s">
        <v>52</v>
      </c>
      <c r="F331" s="4" t="s">
        <v>53</v>
      </c>
      <c r="G331" s="4" t="s">
        <v>54</v>
      </c>
      <c r="H331" s="4" t="s">
        <v>40</v>
      </c>
      <c r="I331" s="4" t="s">
        <v>26</v>
      </c>
      <c r="J331" s="3">
        <v>2</v>
      </c>
      <c r="K331" s="3">
        <v>25</v>
      </c>
      <c r="L331" s="3">
        <v>13</v>
      </c>
      <c r="M331" s="3">
        <v>2</v>
      </c>
      <c r="N331" s="3">
        <v>0</v>
      </c>
      <c r="O331" s="3">
        <v>10</v>
      </c>
      <c r="P331" s="3">
        <f t="shared" si="0"/>
        <v>0</v>
      </c>
      <c r="Q331" s="3">
        <f t="shared" si="1"/>
        <v>52</v>
      </c>
      <c r="R331" s="3">
        <f t="shared" si="2"/>
        <v>40</v>
      </c>
      <c r="S331" s="11"/>
    </row>
    <row r="332" ht="13.5" customHeight="1" spans="1:19">
      <c r="A332" s="4" t="s">
        <v>32</v>
      </c>
      <c r="B332" s="3">
        <v>1342</v>
      </c>
      <c r="C332" s="3">
        <v>9074</v>
      </c>
      <c r="D332" s="3">
        <v>0.1</v>
      </c>
      <c r="E332" s="4" t="s">
        <v>52</v>
      </c>
      <c r="F332" s="4" t="s">
        <v>53</v>
      </c>
      <c r="G332" s="4" t="s">
        <v>54</v>
      </c>
      <c r="H332" s="4" t="s">
        <v>40</v>
      </c>
      <c r="I332" s="4" t="s">
        <v>26</v>
      </c>
      <c r="J332" s="3">
        <v>3</v>
      </c>
      <c r="K332" s="3">
        <v>25</v>
      </c>
      <c r="L332" s="3">
        <v>15</v>
      </c>
      <c r="M332" s="3">
        <v>0</v>
      </c>
      <c r="N332" s="3">
        <v>0</v>
      </c>
      <c r="O332" s="3">
        <v>10</v>
      </c>
      <c r="P332" s="3">
        <f t="shared" si="0"/>
        <v>0</v>
      </c>
      <c r="Q332" s="3">
        <f t="shared" si="1"/>
        <v>60</v>
      </c>
      <c r="R332" s="3">
        <f t="shared" si="2"/>
        <v>40</v>
      </c>
      <c r="S332" s="11"/>
    </row>
    <row r="333" ht="13.5" customHeight="1" spans="1:19">
      <c r="A333" s="4" t="s">
        <v>32</v>
      </c>
      <c r="B333" s="3">
        <v>1342</v>
      </c>
      <c r="C333" s="3">
        <v>9074</v>
      </c>
      <c r="D333" s="3">
        <v>0.1</v>
      </c>
      <c r="E333" s="4" t="s">
        <v>52</v>
      </c>
      <c r="F333" s="4" t="s">
        <v>53</v>
      </c>
      <c r="G333" s="4" t="s">
        <v>54</v>
      </c>
      <c r="H333" s="4" t="s">
        <v>40</v>
      </c>
      <c r="I333" s="4" t="s">
        <v>26</v>
      </c>
      <c r="J333" s="3">
        <v>4</v>
      </c>
      <c r="K333" s="3">
        <v>25</v>
      </c>
      <c r="L333" s="3">
        <v>11</v>
      </c>
      <c r="M333" s="3">
        <v>0</v>
      </c>
      <c r="N333" s="3">
        <v>4</v>
      </c>
      <c r="O333" s="3">
        <v>10</v>
      </c>
      <c r="P333" s="3">
        <f t="shared" si="0"/>
        <v>0</v>
      </c>
      <c r="Q333" s="3">
        <f t="shared" si="1"/>
        <v>52.3809523809524</v>
      </c>
      <c r="R333" s="3">
        <f t="shared" si="2"/>
        <v>47.6190476190476</v>
      </c>
      <c r="S333" s="11"/>
    </row>
    <row r="334" ht="13.5" customHeight="1" spans="1:21">
      <c r="A334" s="4" t="s">
        <v>46</v>
      </c>
      <c r="B334" s="3">
        <v>1270</v>
      </c>
      <c r="C334" s="3">
        <v>8757</v>
      </c>
      <c r="D334" s="3">
        <v>0.1</v>
      </c>
      <c r="E334" s="4" t="s">
        <v>22</v>
      </c>
      <c r="F334" s="4" t="s">
        <v>128</v>
      </c>
      <c r="G334" s="4" t="s">
        <v>129</v>
      </c>
      <c r="H334" s="4" t="s">
        <v>25</v>
      </c>
      <c r="I334" s="4" t="s">
        <v>26</v>
      </c>
      <c r="J334" s="3">
        <v>1</v>
      </c>
      <c r="K334" s="3">
        <v>25</v>
      </c>
      <c r="L334" s="3">
        <v>14</v>
      </c>
      <c r="M334" s="3">
        <v>3</v>
      </c>
      <c r="N334" s="3">
        <v>0</v>
      </c>
      <c r="O334" s="3">
        <v>8</v>
      </c>
      <c r="P334" s="3">
        <f t="shared" si="0"/>
        <v>0</v>
      </c>
      <c r="Q334" s="3">
        <f t="shared" si="1"/>
        <v>56</v>
      </c>
      <c r="R334" s="3">
        <f t="shared" si="2"/>
        <v>32</v>
      </c>
      <c r="S334" s="11">
        <f>AVERAGE(Q334:Q337)</f>
        <v>62.6363636363636</v>
      </c>
      <c r="T334" s="7">
        <f>AVERAGE(R334:R337)</f>
        <v>30.3636363636364</v>
      </c>
      <c r="U334" s="8">
        <f>(L334+L335+L336+L337+O334+O335+O336+O337)/(K334+K335+K336+K337)*100</f>
        <v>91.8367346938776</v>
      </c>
    </row>
    <row r="335" ht="13.5" customHeight="1" spans="1:19">
      <c r="A335" s="4" t="s">
        <v>46</v>
      </c>
      <c r="B335" s="3">
        <v>1270</v>
      </c>
      <c r="C335" s="3">
        <v>8757</v>
      </c>
      <c r="D335" s="3">
        <v>0.1</v>
      </c>
      <c r="E335" s="4" t="s">
        <v>22</v>
      </c>
      <c r="F335" s="4" t="s">
        <v>128</v>
      </c>
      <c r="G335" s="4" t="s">
        <v>129</v>
      </c>
      <c r="H335" s="4" t="s">
        <v>25</v>
      </c>
      <c r="I335" s="4" t="s">
        <v>26</v>
      </c>
      <c r="J335" s="3">
        <v>2</v>
      </c>
      <c r="K335" s="3">
        <v>25</v>
      </c>
      <c r="L335" s="3">
        <v>16</v>
      </c>
      <c r="M335" s="3">
        <v>4</v>
      </c>
      <c r="N335" s="3">
        <v>0</v>
      </c>
      <c r="O335" s="3">
        <v>5</v>
      </c>
      <c r="P335" s="3">
        <f t="shared" si="0"/>
        <v>0</v>
      </c>
      <c r="Q335" s="3">
        <f t="shared" si="1"/>
        <v>64</v>
      </c>
      <c r="R335" s="3">
        <f t="shared" si="2"/>
        <v>20</v>
      </c>
      <c r="S335" s="11"/>
    </row>
    <row r="336" ht="13.5" customHeight="1" spans="1:19">
      <c r="A336" s="4" t="s">
        <v>46</v>
      </c>
      <c r="B336" s="3">
        <v>1270</v>
      </c>
      <c r="C336" s="3">
        <v>8757</v>
      </c>
      <c r="D336" s="3">
        <v>0.1</v>
      </c>
      <c r="E336" s="4" t="s">
        <v>22</v>
      </c>
      <c r="F336" s="4" t="s">
        <v>128</v>
      </c>
      <c r="G336" s="4" t="s">
        <v>129</v>
      </c>
      <c r="H336" s="4" t="s">
        <v>25</v>
      </c>
      <c r="I336" s="4" t="s">
        <v>26</v>
      </c>
      <c r="J336" s="3">
        <v>3</v>
      </c>
      <c r="K336" s="3">
        <v>25</v>
      </c>
      <c r="L336" s="3">
        <v>19</v>
      </c>
      <c r="M336" s="3">
        <v>0</v>
      </c>
      <c r="N336" s="3">
        <v>0</v>
      </c>
      <c r="O336" s="3">
        <v>6</v>
      </c>
      <c r="P336" s="3">
        <f t="shared" si="0"/>
        <v>0</v>
      </c>
      <c r="Q336" s="3">
        <f t="shared" si="1"/>
        <v>76</v>
      </c>
      <c r="R336" s="3">
        <f t="shared" si="2"/>
        <v>24</v>
      </c>
      <c r="S336" s="11"/>
    </row>
    <row r="337" ht="13.5" customHeight="1" spans="1:19">
      <c r="A337" s="4" t="s">
        <v>46</v>
      </c>
      <c r="B337" s="3">
        <v>1270</v>
      </c>
      <c r="C337" s="3">
        <v>8757</v>
      </c>
      <c r="D337" s="3">
        <v>0.1</v>
      </c>
      <c r="E337" s="4" t="s">
        <v>22</v>
      </c>
      <c r="F337" s="4" t="s">
        <v>128</v>
      </c>
      <c r="G337" s="4" t="s">
        <v>129</v>
      </c>
      <c r="H337" s="4" t="s">
        <v>25</v>
      </c>
      <c r="I337" s="4" t="s">
        <v>26</v>
      </c>
      <c r="J337" s="3">
        <v>4</v>
      </c>
      <c r="K337" s="3">
        <v>23</v>
      </c>
      <c r="L337" s="3">
        <v>12</v>
      </c>
      <c r="M337" s="3">
        <v>0</v>
      </c>
      <c r="N337" s="3">
        <v>1</v>
      </c>
      <c r="O337" s="3">
        <v>10</v>
      </c>
      <c r="P337" s="3">
        <f t="shared" si="0"/>
        <v>0</v>
      </c>
      <c r="Q337" s="3">
        <f t="shared" si="1"/>
        <v>54.5454545454545</v>
      </c>
      <c r="R337" s="3">
        <f t="shared" si="2"/>
        <v>45.4545454545455</v>
      </c>
      <c r="S337" s="11"/>
    </row>
    <row r="338" ht="13.5" customHeight="1" spans="1:21">
      <c r="A338" s="4" t="s">
        <v>117</v>
      </c>
      <c r="B338" s="3">
        <v>1001</v>
      </c>
      <c r="C338" s="3">
        <v>4887</v>
      </c>
      <c r="D338" s="3">
        <v>1</v>
      </c>
      <c r="E338" s="3" t="s">
        <v>33</v>
      </c>
      <c r="F338" s="4" t="s">
        <v>64</v>
      </c>
      <c r="G338" s="4" t="s">
        <v>133</v>
      </c>
      <c r="H338" s="4" t="s">
        <v>134</v>
      </c>
      <c r="I338" s="4" t="s">
        <v>26</v>
      </c>
      <c r="J338" s="3">
        <v>1</v>
      </c>
      <c r="K338" s="3">
        <v>25</v>
      </c>
      <c r="L338" s="3">
        <v>16</v>
      </c>
      <c r="M338" s="3">
        <v>5</v>
      </c>
      <c r="N338" s="3">
        <v>0</v>
      </c>
      <c r="O338" s="3">
        <v>4</v>
      </c>
      <c r="P338" s="3">
        <f t="shared" si="0"/>
        <v>0</v>
      </c>
      <c r="Q338" s="3">
        <f t="shared" si="1"/>
        <v>64</v>
      </c>
      <c r="R338" s="3">
        <f t="shared" si="2"/>
        <v>16</v>
      </c>
      <c r="S338" s="11">
        <f>AVERAGE(Q338:Q341)</f>
        <v>61.8498023715415</v>
      </c>
      <c r="T338" s="7">
        <f>AVERAGE(R338:R341)</f>
        <v>17.4387351778656</v>
      </c>
      <c r="U338" s="8">
        <f>(L338+L339+L340+L341+O338+O339+O340+O341)/(K338+K339+K340+K341)*100</f>
        <v>73</v>
      </c>
    </row>
    <row r="339" ht="13.5" customHeight="1" spans="1:19">
      <c r="A339" s="4" t="s">
        <v>117</v>
      </c>
      <c r="B339" s="3">
        <v>1001</v>
      </c>
      <c r="C339" s="3">
        <v>4887</v>
      </c>
      <c r="D339" s="3">
        <v>1</v>
      </c>
      <c r="E339" s="3" t="s">
        <v>33</v>
      </c>
      <c r="F339" s="4" t="s">
        <v>64</v>
      </c>
      <c r="G339" s="4" t="s">
        <v>133</v>
      </c>
      <c r="H339" s="4" t="s">
        <v>134</v>
      </c>
      <c r="I339" s="4" t="s">
        <v>26</v>
      </c>
      <c r="J339" s="3">
        <v>2</v>
      </c>
      <c r="K339" s="3">
        <v>25</v>
      </c>
      <c r="L339" s="3">
        <v>12</v>
      </c>
      <c r="M339" s="3">
        <v>6</v>
      </c>
      <c r="N339" s="3">
        <v>3</v>
      </c>
      <c r="O339" s="3">
        <v>4</v>
      </c>
      <c r="P339" s="3">
        <f t="shared" si="0"/>
        <v>0</v>
      </c>
      <c r="Q339" s="3">
        <f t="shared" si="1"/>
        <v>54.5454545454545</v>
      </c>
      <c r="R339" s="3">
        <f t="shared" si="2"/>
        <v>18.1818181818182</v>
      </c>
      <c r="S339" s="11"/>
    </row>
    <row r="340" ht="13.5" customHeight="1" spans="1:19">
      <c r="A340" s="4" t="s">
        <v>117</v>
      </c>
      <c r="B340" s="3">
        <v>1001</v>
      </c>
      <c r="C340" s="3">
        <v>4887</v>
      </c>
      <c r="D340" s="3">
        <v>1</v>
      </c>
      <c r="E340" s="3" t="s">
        <v>33</v>
      </c>
      <c r="F340" s="4" t="s">
        <v>64</v>
      </c>
      <c r="G340" s="4" t="s">
        <v>133</v>
      </c>
      <c r="H340" s="4" t="s">
        <v>134</v>
      </c>
      <c r="I340" s="4" t="s">
        <v>26</v>
      </c>
      <c r="J340" s="3">
        <v>3</v>
      </c>
      <c r="K340" s="3">
        <v>25</v>
      </c>
      <c r="L340" s="3">
        <v>15</v>
      </c>
      <c r="M340" s="3">
        <v>4</v>
      </c>
      <c r="N340" s="3">
        <v>2</v>
      </c>
      <c r="O340" s="3">
        <v>4</v>
      </c>
      <c r="P340" s="3">
        <f t="shared" si="0"/>
        <v>0</v>
      </c>
      <c r="Q340" s="3">
        <f t="shared" si="1"/>
        <v>65.2173913043478</v>
      </c>
      <c r="R340" s="3">
        <f t="shared" si="2"/>
        <v>17.3913043478261</v>
      </c>
      <c r="S340" s="11"/>
    </row>
    <row r="341" ht="13.5" customHeight="1" spans="1:19">
      <c r="A341" s="4" t="s">
        <v>117</v>
      </c>
      <c r="B341" s="3">
        <v>1001</v>
      </c>
      <c r="C341" s="3">
        <v>4887</v>
      </c>
      <c r="D341" s="3">
        <v>1</v>
      </c>
      <c r="E341" s="3" t="s">
        <v>33</v>
      </c>
      <c r="F341" s="4" t="s">
        <v>64</v>
      </c>
      <c r="G341" s="4" t="s">
        <v>133</v>
      </c>
      <c r="H341" s="4" t="s">
        <v>134</v>
      </c>
      <c r="I341" s="4" t="s">
        <v>26</v>
      </c>
      <c r="J341" s="3">
        <v>4</v>
      </c>
      <c r="K341" s="3">
        <v>25</v>
      </c>
      <c r="L341" s="3">
        <v>14</v>
      </c>
      <c r="M341" s="3">
        <v>4</v>
      </c>
      <c r="N341" s="3">
        <v>3</v>
      </c>
      <c r="O341" s="3">
        <v>4</v>
      </c>
      <c r="P341" s="3">
        <f t="shared" si="0"/>
        <v>0</v>
      </c>
      <c r="Q341" s="3">
        <f t="shared" si="1"/>
        <v>63.6363636363636</v>
      </c>
      <c r="R341" s="3">
        <f t="shared" si="2"/>
        <v>18.1818181818182</v>
      </c>
      <c r="S341" s="11"/>
    </row>
    <row r="342" ht="13.5" customHeight="1" spans="1:21">
      <c r="A342" s="4" t="s">
        <v>21</v>
      </c>
      <c r="B342" s="3">
        <v>1236</v>
      </c>
      <c r="C342" s="3">
        <v>8460</v>
      </c>
      <c r="D342" s="3">
        <v>0.1</v>
      </c>
      <c r="E342" s="4" t="s">
        <v>22</v>
      </c>
      <c r="F342" s="4" t="s">
        <v>128</v>
      </c>
      <c r="G342" s="4" t="s">
        <v>129</v>
      </c>
      <c r="H342" s="4" t="s">
        <v>25</v>
      </c>
      <c r="I342" s="4" t="s">
        <v>26</v>
      </c>
      <c r="J342" s="3">
        <v>1</v>
      </c>
      <c r="K342" s="3">
        <v>25</v>
      </c>
      <c r="L342" s="3">
        <v>24</v>
      </c>
      <c r="M342" s="3">
        <v>0</v>
      </c>
      <c r="N342" s="3">
        <v>1</v>
      </c>
      <c r="O342" s="3">
        <v>0</v>
      </c>
      <c r="P342" s="3">
        <f t="shared" si="0"/>
        <v>0</v>
      </c>
      <c r="Q342" s="3">
        <f t="shared" si="1"/>
        <v>100</v>
      </c>
      <c r="R342" s="3">
        <f t="shared" si="2"/>
        <v>0</v>
      </c>
      <c r="S342" s="11">
        <f>AVERAGE(Q342:Q345)</f>
        <v>99</v>
      </c>
      <c r="T342" s="7">
        <f>AVERAGE(R342:R345)</f>
        <v>1</v>
      </c>
      <c r="U342" s="8">
        <f>(L342+L343+L344+L345+O342+O343+O344+O345)/(K342+K343+K344+K345)*100</f>
        <v>98</v>
      </c>
    </row>
    <row r="343" ht="13.5" customHeight="1" spans="1:19">
      <c r="A343" s="4" t="s">
        <v>21</v>
      </c>
      <c r="B343" s="3">
        <v>1236</v>
      </c>
      <c r="C343" s="3">
        <v>8460</v>
      </c>
      <c r="D343" s="3">
        <v>0.1</v>
      </c>
      <c r="E343" s="4" t="s">
        <v>22</v>
      </c>
      <c r="F343" s="4" t="s">
        <v>128</v>
      </c>
      <c r="G343" s="4" t="s">
        <v>129</v>
      </c>
      <c r="H343" s="4" t="s">
        <v>25</v>
      </c>
      <c r="I343" s="4" t="s">
        <v>26</v>
      </c>
      <c r="J343" s="3">
        <v>2</v>
      </c>
      <c r="K343" s="3">
        <v>25</v>
      </c>
      <c r="L343" s="3">
        <v>25</v>
      </c>
      <c r="M343" s="3">
        <v>0</v>
      </c>
      <c r="N343" s="3">
        <v>0</v>
      </c>
      <c r="O343" s="3">
        <v>0</v>
      </c>
      <c r="P343" s="3">
        <f t="shared" si="0"/>
        <v>0</v>
      </c>
      <c r="Q343" s="3">
        <f t="shared" si="1"/>
        <v>100</v>
      </c>
      <c r="R343" s="3">
        <f t="shared" si="2"/>
        <v>0</v>
      </c>
      <c r="S343" s="11"/>
    </row>
    <row r="344" ht="13.5" customHeight="1" spans="1:19">
      <c r="A344" s="4" t="s">
        <v>21</v>
      </c>
      <c r="B344" s="3">
        <v>1236</v>
      </c>
      <c r="C344" s="3">
        <v>8460</v>
      </c>
      <c r="D344" s="3">
        <v>0.1</v>
      </c>
      <c r="E344" s="4" t="s">
        <v>22</v>
      </c>
      <c r="F344" s="4" t="s">
        <v>128</v>
      </c>
      <c r="G344" s="4" t="s">
        <v>129</v>
      </c>
      <c r="H344" s="4" t="s">
        <v>25</v>
      </c>
      <c r="I344" s="4" t="s">
        <v>26</v>
      </c>
      <c r="J344" s="3">
        <v>3</v>
      </c>
      <c r="K344" s="3">
        <v>25</v>
      </c>
      <c r="L344" s="3">
        <v>24</v>
      </c>
      <c r="M344" s="3">
        <v>0</v>
      </c>
      <c r="N344" s="3">
        <v>1</v>
      </c>
      <c r="O344" s="3">
        <v>0</v>
      </c>
      <c r="P344" s="3">
        <f t="shared" si="0"/>
        <v>0</v>
      </c>
      <c r="Q344" s="3">
        <f t="shared" si="1"/>
        <v>100</v>
      </c>
      <c r="R344" s="3">
        <f t="shared" si="2"/>
        <v>0</v>
      </c>
      <c r="S344" s="11"/>
    </row>
    <row r="345" ht="13.5" customHeight="1" spans="1:19">
      <c r="A345" s="4" t="s">
        <v>21</v>
      </c>
      <c r="B345" s="3">
        <v>1236</v>
      </c>
      <c r="C345" s="3">
        <v>8460</v>
      </c>
      <c r="D345" s="3">
        <v>0.1</v>
      </c>
      <c r="E345" s="4" t="s">
        <v>22</v>
      </c>
      <c r="F345" s="4" t="s">
        <v>128</v>
      </c>
      <c r="G345" s="4" t="s">
        <v>129</v>
      </c>
      <c r="H345" s="4" t="s">
        <v>25</v>
      </c>
      <c r="I345" s="4" t="s">
        <v>26</v>
      </c>
      <c r="J345" s="3">
        <v>4</v>
      </c>
      <c r="K345" s="3">
        <v>25</v>
      </c>
      <c r="L345" s="3">
        <v>24</v>
      </c>
      <c r="M345" s="3">
        <v>0</v>
      </c>
      <c r="N345" s="3">
        <v>0</v>
      </c>
      <c r="O345" s="3">
        <v>1</v>
      </c>
      <c r="P345" s="3">
        <f t="shared" si="0"/>
        <v>0</v>
      </c>
      <c r="Q345" s="3">
        <f t="shared" si="1"/>
        <v>96</v>
      </c>
      <c r="R345" s="3">
        <f t="shared" si="2"/>
        <v>4</v>
      </c>
      <c r="S345" s="11"/>
    </row>
    <row r="346" ht="13.5" customHeight="1" spans="1:21">
      <c r="A346" s="4" t="s">
        <v>66</v>
      </c>
      <c r="B346" s="3">
        <v>1153</v>
      </c>
      <c r="C346" s="3">
        <v>7684</v>
      </c>
      <c r="D346" s="3">
        <v>0.1</v>
      </c>
      <c r="E346" s="4" t="s">
        <v>52</v>
      </c>
      <c r="F346" s="4" t="s">
        <v>53</v>
      </c>
      <c r="G346" s="4" t="s">
        <v>54</v>
      </c>
      <c r="H346" s="4" t="s">
        <v>40</v>
      </c>
      <c r="I346" s="4" t="s">
        <v>26</v>
      </c>
      <c r="J346" s="3">
        <v>1</v>
      </c>
      <c r="K346" s="3">
        <v>25</v>
      </c>
      <c r="L346" s="3">
        <v>19</v>
      </c>
      <c r="M346" s="3">
        <v>1</v>
      </c>
      <c r="N346" s="3">
        <v>0</v>
      </c>
      <c r="O346" s="3">
        <v>5</v>
      </c>
      <c r="P346" s="3">
        <f t="shared" si="0"/>
        <v>0</v>
      </c>
      <c r="Q346" s="3">
        <f t="shared" si="1"/>
        <v>76</v>
      </c>
      <c r="R346" s="3">
        <f t="shared" si="2"/>
        <v>20</v>
      </c>
      <c r="S346" s="11">
        <f>AVERAGE(Q346:Q349)</f>
        <v>81</v>
      </c>
      <c r="T346" s="7">
        <f>AVERAGE(R346:R349)</f>
        <v>16</v>
      </c>
      <c r="U346" s="8">
        <f>(L346+L347+L348+L349+O346+O347+O348+O349)/(K346+K347+K348+K349)*100</f>
        <v>97</v>
      </c>
    </row>
    <row r="347" ht="13.5" customHeight="1" spans="1:19">
      <c r="A347" s="4" t="s">
        <v>66</v>
      </c>
      <c r="B347" s="3">
        <v>1153</v>
      </c>
      <c r="C347" s="3">
        <v>7684</v>
      </c>
      <c r="D347" s="3">
        <v>0.1</v>
      </c>
      <c r="E347" s="4" t="s">
        <v>52</v>
      </c>
      <c r="F347" s="4" t="s">
        <v>53</v>
      </c>
      <c r="G347" s="4" t="s">
        <v>54</v>
      </c>
      <c r="H347" s="4" t="s">
        <v>40</v>
      </c>
      <c r="I347" s="4" t="s">
        <v>26</v>
      </c>
      <c r="J347" s="3">
        <v>2</v>
      </c>
      <c r="K347" s="3">
        <v>25</v>
      </c>
      <c r="L347" s="3">
        <v>21</v>
      </c>
      <c r="M347" s="3">
        <v>0</v>
      </c>
      <c r="N347" s="3">
        <v>0</v>
      </c>
      <c r="O347" s="3">
        <v>4</v>
      </c>
      <c r="P347" s="3">
        <f t="shared" si="0"/>
        <v>0</v>
      </c>
      <c r="Q347" s="3">
        <f t="shared" si="1"/>
        <v>84</v>
      </c>
      <c r="R347" s="3">
        <f t="shared" si="2"/>
        <v>16</v>
      </c>
      <c r="S347" s="11"/>
    </row>
    <row r="348" ht="13.5" customHeight="1" spans="1:19">
      <c r="A348" s="4" t="s">
        <v>66</v>
      </c>
      <c r="B348" s="3">
        <v>1153</v>
      </c>
      <c r="C348" s="3">
        <v>7684</v>
      </c>
      <c r="D348" s="3">
        <v>0.1</v>
      </c>
      <c r="E348" s="4" t="s">
        <v>52</v>
      </c>
      <c r="F348" s="4" t="s">
        <v>53</v>
      </c>
      <c r="G348" s="4" t="s">
        <v>54</v>
      </c>
      <c r="H348" s="4" t="s">
        <v>40</v>
      </c>
      <c r="I348" s="4" t="s">
        <v>26</v>
      </c>
      <c r="J348" s="3">
        <v>3</v>
      </c>
      <c r="K348" s="3">
        <v>25</v>
      </c>
      <c r="L348" s="3">
        <v>17</v>
      </c>
      <c r="M348" s="3">
        <v>2</v>
      </c>
      <c r="N348" s="3">
        <v>0</v>
      </c>
      <c r="O348" s="3">
        <v>6</v>
      </c>
      <c r="P348" s="3">
        <f t="shared" si="0"/>
        <v>0</v>
      </c>
      <c r="Q348" s="3">
        <f t="shared" si="1"/>
        <v>68</v>
      </c>
      <c r="R348" s="3">
        <f t="shared" si="2"/>
        <v>24</v>
      </c>
      <c r="S348" s="11"/>
    </row>
    <row r="349" ht="13.5" customHeight="1" spans="1:19">
      <c r="A349" s="4" t="s">
        <v>66</v>
      </c>
      <c r="B349" s="3">
        <v>1153</v>
      </c>
      <c r="C349" s="3">
        <v>7684</v>
      </c>
      <c r="D349" s="3">
        <v>0.1</v>
      </c>
      <c r="E349" s="4" t="s">
        <v>52</v>
      </c>
      <c r="F349" s="4" t="s">
        <v>53</v>
      </c>
      <c r="G349" s="4" t="s">
        <v>54</v>
      </c>
      <c r="H349" s="4" t="s">
        <v>40</v>
      </c>
      <c r="I349" s="4" t="s">
        <v>26</v>
      </c>
      <c r="J349" s="3">
        <v>4</v>
      </c>
      <c r="K349" s="3">
        <v>25</v>
      </c>
      <c r="L349" s="3">
        <v>24</v>
      </c>
      <c r="M349" s="3">
        <v>0</v>
      </c>
      <c r="N349" s="3">
        <v>0</v>
      </c>
      <c r="O349" s="3">
        <v>1</v>
      </c>
      <c r="P349" s="3">
        <f t="shared" si="0"/>
        <v>0</v>
      </c>
      <c r="Q349" s="3">
        <f t="shared" si="1"/>
        <v>96</v>
      </c>
      <c r="R349" s="3">
        <f t="shared" si="2"/>
        <v>4</v>
      </c>
      <c r="S349" s="11"/>
    </row>
    <row r="350" ht="13.5" customHeight="1" spans="1:21">
      <c r="A350" s="4" t="s">
        <v>93</v>
      </c>
      <c r="B350" s="3">
        <v>1661</v>
      </c>
      <c r="C350" s="3">
        <v>10216</v>
      </c>
      <c r="D350" s="3">
        <v>0.1</v>
      </c>
      <c r="E350" s="4" t="s">
        <v>52</v>
      </c>
      <c r="F350" s="4" t="s">
        <v>53</v>
      </c>
      <c r="G350" s="4" t="s">
        <v>135</v>
      </c>
      <c r="H350" s="4" t="s">
        <v>40</v>
      </c>
      <c r="I350" s="4" t="s">
        <v>26</v>
      </c>
      <c r="J350" s="3">
        <v>1</v>
      </c>
      <c r="K350" s="3">
        <v>25</v>
      </c>
      <c r="L350" s="3">
        <v>16</v>
      </c>
      <c r="M350" s="3">
        <v>1</v>
      </c>
      <c r="N350" s="3">
        <v>3</v>
      </c>
      <c r="O350" s="3">
        <v>5</v>
      </c>
      <c r="P350" s="3">
        <f t="shared" si="0"/>
        <v>0</v>
      </c>
      <c r="Q350" s="3">
        <f t="shared" si="1"/>
        <v>72.7272727272727</v>
      </c>
      <c r="R350" s="3">
        <f t="shared" si="2"/>
        <v>22.7272727272727</v>
      </c>
      <c r="S350" s="11">
        <f>AVERAGE(Q350:Q353)</f>
        <v>84.4861660079051</v>
      </c>
      <c r="T350" s="7">
        <f>AVERAGE(R350:R353)</f>
        <v>14.3774703557312</v>
      </c>
      <c r="U350" s="8">
        <f>(L350+L351+L352+L353+O350+O351+O352+O353)/(K350+K351+K352+K353)*100</f>
        <v>92</v>
      </c>
    </row>
    <row r="351" ht="13.5" customHeight="1" spans="1:19">
      <c r="A351" s="4" t="s">
        <v>93</v>
      </c>
      <c r="B351" s="3">
        <v>1661</v>
      </c>
      <c r="C351" s="3">
        <v>10216</v>
      </c>
      <c r="D351" s="3">
        <v>0.1</v>
      </c>
      <c r="E351" s="4" t="s">
        <v>52</v>
      </c>
      <c r="F351" s="4" t="s">
        <v>53</v>
      </c>
      <c r="G351" s="4" t="s">
        <v>135</v>
      </c>
      <c r="H351" s="4" t="s">
        <v>40</v>
      </c>
      <c r="I351" s="4" t="s">
        <v>26</v>
      </c>
      <c r="J351" s="3">
        <v>2</v>
      </c>
      <c r="K351" s="3">
        <v>25</v>
      </c>
      <c r="L351" s="3">
        <v>18</v>
      </c>
      <c r="M351" s="3">
        <v>0</v>
      </c>
      <c r="N351" s="3">
        <v>2</v>
      </c>
      <c r="O351" s="3">
        <v>5</v>
      </c>
      <c r="P351" s="3">
        <f t="shared" si="0"/>
        <v>0</v>
      </c>
      <c r="Q351" s="3">
        <f t="shared" si="1"/>
        <v>78.2608695652174</v>
      </c>
      <c r="R351" s="3">
        <f t="shared" si="2"/>
        <v>21.7391304347826</v>
      </c>
      <c r="S351" s="11"/>
    </row>
    <row r="352" ht="13.5" customHeight="1" spans="1:19">
      <c r="A352" s="4" t="s">
        <v>93</v>
      </c>
      <c r="B352" s="3">
        <v>1661</v>
      </c>
      <c r="C352" s="3">
        <v>10216</v>
      </c>
      <c r="D352" s="3">
        <v>0.1</v>
      </c>
      <c r="E352" s="4" t="s">
        <v>52</v>
      </c>
      <c r="F352" s="4" t="s">
        <v>53</v>
      </c>
      <c r="G352" s="4" t="s">
        <v>135</v>
      </c>
      <c r="H352" s="4" t="s">
        <v>40</v>
      </c>
      <c r="I352" s="4" t="s">
        <v>26</v>
      </c>
      <c r="J352" s="3">
        <v>3</v>
      </c>
      <c r="K352" s="3">
        <v>25</v>
      </c>
      <c r="L352" s="3">
        <v>20</v>
      </c>
      <c r="M352" s="3">
        <v>0</v>
      </c>
      <c r="N352" s="3">
        <v>2</v>
      </c>
      <c r="O352" s="3">
        <v>3</v>
      </c>
      <c r="P352" s="3">
        <f t="shared" si="0"/>
        <v>0</v>
      </c>
      <c r="Q352" s="3">
        <f t="shared" si="1"/>
        <v>86.9565217391304</v>
      </c>
      <c r="R352" s="3">
        <f t="shared" si="2"/>
        <v>13.0434782608696</v>
      </c>
      <c r="S352" s="11"/>
    </row>
    <row r="353" ht="13.5" customHeight="1" spans="1:19">
      <c r="A353" s="4" t="s">
        <v>93</v>
      </c>
      <c r="B353" s="3">
        <v>1661</v>
      </c>
      <c r="C353" s="3">
        <v>10216</v>
      </c>
      <c r="D353" s="3">
        <v>0.1</v>
      </c>
      <c r="E353" s="4" t="s">
        <v>52</v>
      </c>
      <c r="F353" s="4" t="s">
        <v>53</v>
      </c>
      <c r="G353" s="4" t="s">
        <v>135</v>
      </c>
      <c r="H353" s="4" t="s">
        <v>40</v>
      </c>
      <c r="I353" s="4" t="s">
        <v>26</v>
      </c>
      <c r="J353" s="3">
        <v>4</v>
      </c>
      <c r="K353" s="3">
        <v>25</v>
      </c>
      <c r="L353" s="3">
        <v>25</v>
      </c>
      <c r="M353" s="3">
        <v>0</v>
      </c>
      <c r="N353" s="3">
        <v>0</v>
      </c>
      <c r="O353" s="3">
        <v>0</v>
      </c>
      <c r="P353" s="3">
        <f t="shared" si="0"/>
        <v>0</v>
      </c>
      <c r="Q353" s="3">
        <f t="shared" si="1"/>
        <v>100</v>
      </c>
      <c r="R353" s="3">
        <f t="shared" si="2"/>
        <v>0</v>
      </c>
      <c r="S353" s="11"/>
    </row>
    <row r="354" ht="13.5" customHeight="1" spans="1:21">
      <c r="A354" s="4" t="s">
        <v>21</v>
      </c>
      <c r="B354" s="3">
        <v>1236</v>
      </c>
      <c r="C354" s="3">
        <v>8460</v>
      </c>
      <c r="D354" s="3">
        <v>0.1</v>
      </c>
      <c r="E354" s="4" t="s">
        <v>52</v>
      </c>
      <c r="F354" s="4" t="s">
        <v>53</v>
      </c>
      <c r="G354" s="4" t="s">
        <v>54</v>
      </c>
      <c r="H354" s="4" t="s">
        <v>40</v>
      </c>
      <c r="I354" s="4" t="s">
        <v>26</v>
      </c>
      <c r="J354" s="3">
        <v>1</v>
      </c>
      <c r="K354" s="3">
        <v>25</v>
      </c>
      <c r="L354" s="3">
        <v>21</v>
      </c>
      <c r="M354" s="3">
        <v>1</v>
      </c>
      <c r="N354" s="3">
        <v>2</v>
      </c>
      <c r="O354" s="3">
        <v>1</v>
      </c>
      <c r="P354" s="3">
        <f t="shared" si="0"/>
        <v>0</v>
      </c>
      <c r="Q354" s="3">
        <f t="shared" si="1"/>
        <v>91.304347826087</v>
      </c>
      <c r="R354" s="3">
        <f t="shared" si="2"/>
        <v>4.34782608695652</v>
      </c>
      <c r="S354" s="11">
        <f>AVERAGE(Q354:Q357)</f>
        <v>92.4451345755694</v>
      </c>
      <c r="T354" s="7">
        <f>AVERAGE(R354:R357)</f>
        <v>4.46790890269151</v>
      </c>
      <c r="U354" s="8">
        <f>(L354+L355+L356+L357+O354+O355+O356+O357)/(K354+K355+K356+K357)*100</f>
        <v>91</v>
      </c>
    </row>
    <row r="355" ht="13.5" customHeight="1" spans="1:19">
      <c r="A355" s="4" t="s">
        <v>21</v>
      </c>
      <c r="B355" s="3">
        <v>1236</v>
      </c>
      <c r="C355" s="3">
        <v>8460</v>
      </c>
      <c r="D355" s="3">
        <v>0.1</v>
      </c>
      <c r="E355" s="4" t="s">
        <v>52</v>
      </c>
      <c r="F355" s="4" t="s">
        <v>53</v>
      </c>
      <c r="G355" s="4" t="s">
        <v>54</v>
      </c>
      <c r="H355" s="4" t="s">
        <v>40</v>
      </c>
      <c r="I355" s="4" t="s">
        <v>26</v>
      </c>
      <c r="J355" s="3">
        <v>2</v>
      </c>
      <c r="K355" s="3">
        <v>25</v>
      </c>
      <c r="L355" s="3">
        <v>22</v>
      </c>
      <c r="M355" s="3">
        <v>2</v>
      </c>
      <c r="N355" s="3">
        <v>0</v>
      </c>
      <c r="O355" s="3">
        <v>1</v>
      </c>
      <c r="P355" s="3">
        <f t="shared" si="0"/>
        <v>0</v>
      </c>
      <c r="Q355" s="3">
        <f t="shared" si="1"/>
        <v>88</v>
      </c>
      <c r="R355" s="3">
        <f t="shared" si="2"/>
        <v>4</v>
      </c>
      <c r="S355" s="11"/>
    </row>
    <row r="356" ht="13.5" customHeight="1" spans="1:19">
      <c r="A356" s="4" t="s">
        <v>21</v>
      </c>
      <c r="B356" s="3">
        <v>1236</v>
      </c>
      <c r="C356" s="3">
        <v>8460</v>
      </c>
      <c r="D356" s="3">
        <v>0.1</v>
      </c>
      <c r="E356" s="4" t="s">
        <v>52</v>
      </c>
      <c r="F356" s="4" t="s">
        <v>53</v>
      </c>
      <c r="G356" s="4" t="s">
        <v>54</v>
      </c>
      <c r="H356" s="4" t="s">
        <v>40</v>
      </c>
      <c r="I356" s="4" t="s">
        <v>26</v>
      </c>
      <c r="J356" s="3">
        <v>3</v>
      </c>
      <c r="K356" s="3">
        <v>25</v>
      </c>
      <c r="L356" s="3">
        <v>25</v>
      </c>
      <c r="M356" s="3">
        <v>0</v>
      </c>
      <c r="N356" s="3">
        <v>0</v>
      </c>
      <c r="O356" s="3">
        <v>0</v>
      </c>
      <c r="P356" s="3">
        <f t="shared" si="0"/>
        <v>0</v>
      </c>
      <c r="Q356" s="3">
        <f t="shared" si="1"/>
        <v>100</v>
      </c>
      <c r="R356" s="3">
        <f t="shared" si="2"/>
        <v>0</v>
      </c>
      <c r="S356" s="11"/>
    </row>
    <row r="357" ht="13.5" customHeight="1" spans="1:19">
      <c r="A357" s="4" t="s">
        <v>21</v>
      </c>
      <c r="B357" s="3">
        <v>1236</v>
      </c>
      <c r="C357" s="3">
        <v>8460</v>
      </c>
      <c r="D357" s="3">
        <v>0.1</v>
      </c>
      <c r="E357" s="4" t="s">
        <v>52</v>
      </c>
      <c r="F357" s="4" t="s">
        <v>53</v>
      </c>
      <c r="G357" s="4" t="s">
        <v>54</v>
      </c>
      <c r="H357" s="4" t="s">
        <v>40</v>
      </c>
      <c r="I357" s="4" t="s">
        <v>26</v>
      </c>
      <c r="J357" s="3">
        <v>4</v>
      </c>
      <c r="K357" s="3">
        <v>25</v>
      </c>
      <c r="L357" s="3">
        <v>19</v>
      </c>
      <c r="M357" s="3">
        <v>0</v>
      </c>
      <c r="N357" s="3">
        <v>4</v>
      </c>
      <c r="O357" s="3">
        <v>2</v>
      </c>
      <c r="P357" s="3">
        <f t="shared" si="0"/>
        <v>0</v>
      </c>
      <c r="Q357" s="3">
        <f t="shared" si="1"/>
        <v>90.4761904761905</v>
      </c>
      <c r="R357" s="3">
        <f t="shared" si="2"/>
        <v>9.52380952380952</v>
      </c>
      <c r="S357" s="11"/>
    </row>
    <row r="358" ht="13.5" customHeight="1" spans="1:21">
      <c r="A358" s="4" t="s">
        <v>42</v>
      </c>
      <c r="B358" s="3">
        <v>1441</v>
      </c>
      <c r="C358" s="3">
        <v>9420</v>
      </c>
      <c r="D358" s="3">
        <v>0.1</v>
      </c>
      <c r="E358" s="4" t="s">
        <v>33</v>
      </c>
      <c r="F358" s="4" t="s">
        <v>67</v>
      </c>
      <c r="G358" s="4" t="s">
        <v>68</v>
      </c>
      <c r="H358" s="4" t="s">
        <v>40</v>
      </c>
      <c r="I358" s="4" t="s">
        <v>26</v>
      </c>
      <c r="J358" s="3">
        <v>1</v>
      </c>
      <c r="K358" s="3">
        <v>24</v>
      </c>
      <c r="L358" s="3">
        <v>18</v>
      </c>
      <c r="M358" s="3">
        <v>5</v>
      </c>
      <c r="N358" s="3">
        <v>0</v>
      </c>
      <c r="O358" s="3">
        <v>1</v>
      </c>
      <c r="P358" s="3">
        <f t="shared" si="0"/>
        <v>0</v>
      </c>
      <c r="Q358" s="3">
        <f t="shared" si="1"/>
        <v>75</v>
      </c>
      <c r="R358" s="3">
        <f t="shared" si="2"/>
        <v>4.16666666666667</v>
      </c>
      <c r="S358" s="11">
        <f>AVERAGE(Q358:Q361)</f>
        <v>78.4583333333333</v>
      </c>
      <c r="T358" s="7">
        <f>AVERAGE(R358:R361)</f>
        <v>10.2083333333333</v>
      </c>
      <c r="U358" s="8">
        <f>(L358+L359+L360+L361+O358+O359+O360+O361)/(K358+K359+K360+K361)*100</f>
        <v>88.7755102040816</v>
      </c>
    </row>
    <row r="359" ht="13.5" customHeight="1" spans="1:19">
      <c r="A359" s="4" t="s">
        <v>42</v>
      </c>
      <c r="B359" s="3">
        <v>1441</v>
      </c>
      <c r="C359" s="3">
        <v>9420</v>
      </c>
      <c r="D359" s="3">
        <v>0.1</v>
      </c>
      <c r="E359" s="4" t="s">
        <v>33</v>
      </c>
      <c r="F359" s="4" t="s">
        <v>67</v>
      </c>
      <c r="G359" s="4" t="s">
        <v>68</v>
      </c>
      <c r="H359" s="4" t="s">
        <v>40</v>
      </c>
      <c r="I359" s="4" t="s">
        <v>26</v>
      </c>
      <c r="J359" s="3">
        <v>2</v>
      </c>
      <c r="K359" s="3">
        <v>25</v>
      </c>
      <c r="L359" s="3">
        <v>19</v>
      </c>
      <c r="M359" s="3">
        <v>3</v>
      </c>
      <c r="N359" s="3">
        <v>0</v>
      </c>
      <c r="O359" s="3">
        <v>3</v>
      </c>
      <c r="P359" s="3">
        <f t="shared" si="0"/>
        <v>0</v>
      </c>
      <c r="Q359" s="3">
        <f t="shared" si="1"/>
        <v>76</v>
      </c>
      <c r="R359" s="3">
        <f t="shared" si="2"/>
        <v>12</v>
      </c>
      <c r="S359" s="11"/>
    </row>
    <row r="360" ht="13.5" customHeight="1" spans="1:19">
      <c r="A360" s="4" t="s">
        <v>42</v>
      </c>
      <c r="B360" s="3">
        <v>1441</v>
      </c>
      <c r="C360" s="3">
        <v>9420</v>
      </c>
      <c r="D360" s="3">
        <v>0.1</v>
      </c>
      <c r="E360" s="4" t="s">
        <v>33</v>
      </c>
      <c r="F360" s="4" t="s">
        <v>67</v>
      </c>
      <c r="G360" s="4" t="s">
        <v>68</v>
      </c>
      <c r="H360" s="4" t="s">
        <v>40</v>
      </c>
      <c r="I360" s="4" t="s">
        <v>26</v>
      </c>
      <c r="J360" s="3">
        <v>3</v>
      </c>
      <c r="K360" s="3">
        <v>24</v>
      </c>
      <c r="L360" s="3">
        <v>17</v>
      </c>
      <c r="M360" s="3">
        <v>3</v>
      </c>
      <c r="N360" s="3">
        <v>0</v>
      </c>
      <c r="O360" s="3">
        <v>4</v>
      </c>
      <c r="P360" s="3">
        <f t="shared" si="0"/>
        <v>0</v>
      </c>
      <c r="Q360" s="3">
        <f t="shared" si="1"/>
        <v>70.8333333333333</v>
      </c>
      <c r="R360" s="3">
        <f t="shared" si="2"/>
        <v>16.6666666666667</v>
      </c>
      <c r="S360" s="11"/>
    </row>
    <row r="361" ht="13.5" customHeight="1" spans="1:19">
      <c r="A361" s="4" t="s">
        <v>42</v>
      </c>
      <c r="B361" s="3">
        <v>1441</v>
      </c>
      <c r="C361" s="3">
        <v>9420</v>
      </c>
      <c r="D361" s="3">
        <v>0.1</v>
      </c>
      <c r="E361" s="4" t="s">
        <v>33</v>
      </c>
      <c r="F361" s="4" t="s">
        <v>67</v>
      </c>
      <c r="G361" s="4" t="s">
        <v>68</v>
      </c>
      <c r="H361" s="4" t="s">
        <v>40</v>
      </c>
      <c r="I361" s="4" t="s">
        <v>26</v>
      </c>
      <c r="J361" s="3">
        <v>4</v>
      </c>
      <c r="K361" s="3">
        <v>25</v>
      </c>
      <c r="L361" s="3">
        <v>23</v>
      </c>
      <c r="M361" s="3">
        <v>0</v>
      </c>
      <c r="N361" s="3">
        <v>0</v>
      </c>
      <c r="O361" s="3">
        <v>2</v>
      </c>
      <c r="P361" s="3">
        <f t="shared" si="0"/>
        <v>0</v>
      </c>
      <c r="Q361" s="3">
        <f t="shared" si="1"/>
        <v>92</v>
      </c>
      <c r="R361" s="3">
        <f t="shared" si="2"/>
        <v>8</v>
      </c>
      <c r="S361" s="11"/>
    </row>
    <row r="362" ht="13.5" customHeight="1" spans="1:21">
      <c r="A362" s="4" t="s">
        <v>91</v>
      </c>
      <c r="B362" s="3">
        <v>1007</v>
      </c>
      <c r="C362" s="3">
        <v>4939</v>
      </c>
      <c r="D362" s="3">
        <v>1</v>
      </c>
      <c r="E362" s="4" t="s">
        <v>33</v>
      </c>
      <c r="F362" s="4" t="s">
        <v>64</v>
      </c>
      <c r="G362" s="4" t="s">
        <v>65</v>
      </c>
      <c r="H362" s="4" t="s">
        <v>40</v>
      </c>
      <c r="I362" s="4" t="s">
        <v>26</v>
      </c>
      <c r="J362" s="3">
        <v>1</v>
      </c>
      <c r="K362" s="3">
        <v>25</v>
      </c>
      <c r="L362" s="3">
        <v>15</v>
      </c>
      <c r="M362" s="3">
        <v>7</v>
      </c>
      <c r="N362" s="3">
        <v>1</v>
      </c>
      <c r="O362" s="3">
        <v>2</v>
      </c>
      <c r="P362" s="3">
        <f t="shared" si="0"/>
        <v>0</v>
      </c>
      <c r="Q362" s="3">
        <f t="shared" si="1"/>
        <v>62.5</v>
      </c>
      <c r="R362" s="3">
        <f t="shared" si="2"/>
        <v>8.33333333333333</v>
      </c>
      <c r="S362" s="11">
        <f>AVERAGE(Q362:Q365)</f>
        <v>59.469696969697</v>
      </c>
      <c r="T362" s="7">
        <f>AVERAGE(R362:R365)</f>
        <v>14.2992424242424</v>
      </c>
      <c r="U362" s="8">
        <f>(L362+L363+L364+L365+O362+O363+O364+O365)/(K362+K363+K364+K365)*100</f>
        <v>68</v>
      </c>
    </row>
    <row r="363" ht="13.5" customHeight="1" spans="1:19">
      <c r="A363" s="4" t="s">
        <v>91</v>
      </c>
      <c r="B363" s="3">
        <v>1007</v>
      </c>
      <c r="C363" s="3">
        <v>4939</v>
      </c>
      <c r="D363" s="3">
        <v>1</v>
      </c>
      <c r="E363" s="4" t="s">
        <v>33</v>
      </c>
      <c r="F363" s="4" t="s">
        <v>64</v>
      </c>
      <c r="G363" s="4" t="s">
        <v>65</v>
      </c>
      <c r="H363" s="4" t="s">
        <v>40</v>
      </c>
      <c r="I363" s="4" t="s">
        <v>26</v>
      </c>
      <c r="J363" s="3">
        <v>2</v>
      </c>
      <c r="K363" s="3">
        <v>25</v>
      </c>
      <c r="L363" s="3">
        <v>13</v>
      </c>
      <c r="M363" s="3">
        <v>8</v>
      </c>
      <c r="N363" s="3">
        <v>3</v>
      </c>
      <c r="O363" s="3">
        <v>1</v>
      </c>
      <c r="P363" s="3">
        <f t="shared" si="0"/>
        <v>0</v>
      </c>
      <c r="Q363" s="3">
        <f t="shared" si="1"/>
        <v>59.0909090909091</v>
      </c>
      <c r="R363" s="3">
        <f t="shared" si="2"/>
        <v>4.54545454545455</v>
      </c>
      <c r="S363" s="11"/>
    </row>
    <row r="364" ht="13.5" customHeight="1" spans="1:19">
      <c r="A364" s="4" t="s">
        <v>91</v>
      </c>
      <c r="B364" s="3">
        <v>1007</v>
      </c>
      <c r="C364" s="3">
        <v>4939</v>
      </c>
      <c r="D364" s="3">
        <v>1</v>
      </c>
      <c r="E364" s="4" t="s">
        <v>33</v>
      </c>
      <c r="F364" s="4" t="s">
        <v>64</v>
      </c>
      <c r="G364" s="4" t="s">
        <v>65</v>
      </c>
      <c r="H364" s="4" t="s">
        <v>40</v>
      </c>
      <c r="I364" s="4" t="s">
        <v>26</v>
      </c>
      <c r="J364" s="3">
        <v>3</v>
      </c>
      <c r="K364" s="3">
        <v>25</v>
      </c>
      <c r="L364" s="3">
        <v>10</v>
      </c>
      <c r="M364" s="3">
        <v>5</v>
      </c>
      <c r="N364" s="3">
        <v>3</v>
      </c>
      <c r="O364" s="3">
        <v>7</v>
      </c>
      <c r="P364" s="3">
        <f t="shared" si="0"/>
        <v>0</v>
      </c>
      <c r="Q364" s="3">
        <f t="shared" si="1"/>
        <v>45.4545454545455</v>
      </c>
      <c r="R364" s="3">
        <f t="shared" si="2"/>
        <v>31.8181818181818</v>
      </c>
      <c r="S364" s="11"/>
    </row>
    <row r="365" ht="13.5" customHeight="1" spans="1:19">
      <c r="A365" s="4" t="s">
        <v>91</v>
      </c>
      <c r="B365" s="3">
        <v>1007</v>
      </c>
      <c r="C365" s="3">
        <v>4939</v>
      </c>
      <c r="D365" s="3">
        <v>1</v>
      </c>
      <c r="E365" s="4" t="s">
        <v>33</v>
      </c>
      <c r="F365" s="4" t="s">
        <v>64</v>
      </c>
      <c r="G365" s="4" t="s">
        <v>65</v>
      </c>
      <c r="H365" s="4" t="s">
        <v>40</v>
      </c>
      <c r="I365" s="4" t="s">
        <v>26</v>
      </c>
      <c r="J365" s="3">
        <v>4</v>
      </c>
      <c r="K365" s="3">
        <v>25</v>
      </c>
      <c r="L365" s="3">
        <v>17</v>
      </c>
      <c r="M365" s="3">
        <v>4</v>
      </c>
      <c r="N365" s="3">
        <v>1</v>
      </c>
      <c r="O365" s="3">
        <v>3</v>
      </c>
      <c r="P365" s="3">
        <f t="shared" si="0"/>
        <v>0</v>
      </c>
      <c r="Q365" s="3">
        <f t="shared" si="1"/>
        <v>70.8333333333333</v>
      </c>
      <c r="R365" s="3">
        <f t="shared" si="2"/>
        <v>12.5</v>
      </c>
      <c r="S365" s="11"/>
    </row>
    <row r="366" ht="13.5" customHeight="1" spans="1:21">
      <c r="A366" s="4" t="s">
        <v>42</v>
      </c>
      <c r="B366" s="3">
        <v>1441</v>
      </c>
      <c r="C366" s="3">
        <v>9420</v>
      </c>
      <c r="D366" s="3">
        <v>0.1</v>
      </c>
      <c r="E366" s="4" t="s">
        <v>52</v>
      </c>
      <c r="F366" s="4" t="s">
        <v>53</v>
      </c>
      <c r="G366" s="4" t="s">
        <v>54</v>
      </c>
      <c r="H366" s="4" t="s">
        <v>40</v>
      </c>
      <c r="I366" s="4" t="s">
        <v>26</v>
      </c>
      <c r="J366" s="3">
        <v>1</v>
      </c>
      <c r="K366" s="3">
        <v>25</v>
      </c>
      <c r="L366" s="3">
        <v>13</v>
      </c>
      <c r="M366" s="3">
        <v>0</v>
      </c>
      <c r="N366" s="3">
        <v>1</v>
      </c>
      <c r="O366" s="3">
        <v>11</v>
      </c>
      <c r="P366" s="3">
        <f t="shared" si="0"/>
        <v>0</v>
      </c>
      <c r="Q366" s="3">
        <f t="shared" si="1"/>
        <v>54.1666666666667</v>
      </c>
      <c r="R366" s="3">
        <f t="shared" si="2"/>
        <v>45.8333333333333</v>
      </c>
      <c r="S366" s="11">
        <f>AVERAGE(Q366:Q369)</f>
        <v>59.1666666666667</v>
      </c>
      <c r="T366" s="7">
        <f>AVERAGE(R366:R369)</f>
        <v>39.8333333333333</v>
      </c>
      <c r="U366" s="8">
        <f>(L366+L367+L368+L369+O366+O367+O368+O369)/(K366+K367+K368+K369)*100</f>
        <v>97</v>
      </c>
    </row>
    <row r="367" ht="13.5" customHeight="1" spans="1:19">
      <c r="A367" s="4" t="s">
        <v>42</v>
      </c>
      <c r="B367" s="3">
        <v>1441</v>
      </c>
      <c r="C367" s="3">
        <v>9420</v>
      </c>
      <c r="D367" s="3">
        <v>0.1</v>
      </c>
      <c r="E367" s="4" t="s">
        <v>52</v>
      </c>
      <c r="F367" s="4" t="s">
        <v>53</v>
      </c>
      <c r="G367" s="4" t="s">
        <v>54</v>
      </c>
      <c r="H367" s="4" t="s">
        <v>40</v>
      </c>
      <c r="I367" s="4" t="s">
        <v>26</v>
      </c>
      <c r="J367" s="3">
        <v>2</v>
      </c>
      <c r="K367" s="3">
        <v>25</v>
      </c>
      <c r="L367" s="3">
        <v>15</v>
      </c>
      <c r="M367" s="3">
        <v>0</v>
      </c>
      <c r="N367" s="3">
        <v>0</v>
      </c>
      <c r="O367" s="3">
        <v>10</v>
      </c>
      <c r="P367" s="3">
        <f t="shared" si="0"/>
        <v>0</v>
      </c>
      <c r="Q367" s="3">
        <f t="shared" si="1"/>
        <v>60</v>
      </c>
      <c r="R367" s="3">
        <f t="shared" si="2"/>
        <v>40</v>
      </c>
      <c r="S367" s="11"/>
    </row>
    <row r="368" ht="13.5" customHeight="1" spans="1:19">
      <c r="A368" s="4" t="s">
        <v>42</v>
      </c>
      <c r="B368" s="3">
        <v>1441</v>
      </c>
      <c r="C368" s="3">
        <v>9420</v>
      </c>
      <c r="D368" s="3">
        <v>0.1</v>
      </c>
      <c r="E368" s="4" t="s">
        <v>52</v>
      </c>
      <c r="F368" s="4" t="s">
        <v>53</v>
      </c>
      <c r="G368" s="4" t="s">
        <v>54</v>
      </c>
      <c r="H368" s="4" t="s">
        <v>40</v>
      </c>
      <c r="I368" s="4" t="s">
        <v>26</v>
      </c>
      <c r="J368" s="3">
        <v>3</v>
      </c>
      <c r="K368" s="3">
        <v>25</v>
      </c>
      <c r="L368" s="3">
        <v>15</v>
      </c>
      <c r="M368" s="3">
        <v>0</v>
      </c>
      <c r="N368" s="3">
        <v>1</v>
      </c>
      <c r="O368" s="3">
        <v>9</v>
      </c>
      <c r="P368" s="3">
        <f t="shared" si="0"/>
        <v>0</v>
      </c>
      <c r="Q368" s="3">
        <f t="shared" si="1"/>
        <v>62.5</v>
      </c>
      <c r="R368" s="3">
        <f t="shared" si="2"/>
        <v>37.5</v>
      </c>
      <c r="S368" s="11"/>
    </row>
    <row r="369" ht="13.5" customHeight="1" spans="1:19">
      <c r="A369" s="4" t="s">
        <v>42</v>
      </c>
      <c r="B369" s="3">
        <v>1441</v>
      </c>
      <c r="C369" s="3">
        <v>9420</v>
      </c>
      <c r="D369" s="3">
        <v>0.1</v>
      </c>
      <c r="E369" s="4" t="s">
        <v>52</v>
      </c>
      <c r="F369" s="4" t="s">
        <v>53</v>
      </c>
      <c r="G369" s="4" t="s">
        <v>54</v>
      </c>
      <c r="H369" s="4" t="s">
        <v>40</v>
      </c>
      <c r="I369" s="4" t="s">
        <v>26</v>
      </c>
      <c r="J369" s="3">
        <v>4</v>
      </c>
      <c r="K369" s="3">
        <v>25</v>
      </c>
      <c r="L369" s="3">
        <v>15</v>
      </c>
      <c r="M369" s="3">
        <v>1</v>
      </c>
      <c r="N369" s="3">
        <v>0</v>
      </c>
      <c r="O369" s="3">
        <v>9</v>
      </c>
      <c r="P369" s="3">
        <f t="shared" si="0"/>
        <v>0</v>
      </c>
      <c r="Q369" s="3">
        <f t="shared" si="1"/>
        <v>60</v>
      </c>
      <c r="R369" s="3">
        <f t="shared" si="2"/>
        <v>36</v>
      </c>
      <c r="S369" s="11"/>
    </row>
    <row r="370" ht="13.5" customHeight="1" spans="1:21">
      <c r="A370" s="4" t="s">
        <v>37</v>
      </c>
      <c r="B370" s="3">
        <v>1016</v>
      </c>
      <c r="C370" s="3">
        <v>5657</v>
      </c>
      <c r="D370" s="3">
        <v>0.1</v>
      </c>
      <c r="E370" s="4" t="s">
        <v>33</v>
      </c>
      <c r="F370" s="4" t="s">
        <v>136</v>
      </c>
      <c r="G370" s="3" t="s">
        <v>136</v>
      </c>
      <c r="H370" s="4" t="s">
        <v>40</v>
      </c>
      <c r="I370" s="4" t="s">
        <v>26</v>
      </c>
      <c r="J370" s="3">
        <v>1</v>
      </c>
      <c r="K370" s="3">
        <v>25</v>
      </c>
      <c r="L370" s="3">
        <v>12</v>
      </c>
      <c r="M370" s="3">
        <v>2</v>
      </c>
      <c r="N370" s="3">
        <v>8</v>
      </c>
      <c r="O370" s="3">
        <v>3</v>
      </c>
      <c r="P370" s="3">
        <f t="shared" si="0"/>
        <v>0</v>
      </c>
      <c r="Q370" s="3">
        <f t="shared" si="1"/>
        <v>70.5882352941177</v>
      </c>
      <c r="R370" s="3">
        <f t="shared" si="2"/>
        <v>17.6470588235294</v>
      </c>
      <c r="S370" s="11">
        <f>AVERAGE(Q370:Q373)</f>
        <v>57.3970588235294</v>
      </c>
      <c r="T370" s="7">
        <f>AVERAGE(R370:R373)</f>
        <v>11.8208556149732</v>
      </c>
      <c r="U370" s="8">
        <f>(L370+L371+L372+L373+O370+O371+O372+O373)/(K370+K371+K372+K373)*100</f>
        <v>58</v>
      </c>
    </row>
    <row r="371" ht="13.5" customHeight="1" spans="1:19">
      <c r="A371" s="4" t="s">
        <v>37</v>
      </c>
      <c r="B371" s="3">
        <v>1016</v>
      </c>
      <c r="C371" s="3">
        <v>5657</v>
      </c>
      <c r="D371" s="3">
        <v>0.1</v>
      </c>
      <c r="E371" s="4" t="s">
        <v>33</v>
      </c>
      <c r="F371" s="4" t="s">
        <v>136</v>
      </c>
      <c r="G371" s="3" t="s">
        <v>136</v>
      </c>
      <c r="H371" s="4" t="s">
        <v>40</v>
      </c>
      <c r="I371" s="4" t="s">
        <v>26</v>
      </c>
      <c r="J371" s="3">
        <v>2</v>
      </c>
      <c r="K371" s="3">
        <v>25</v>
      </c>
      <c r="L371" s="3">
        <v>9</v>
      </c>
      <c r="M371" s="3">
        <v>11</v>
      </c>
      <c r="N371" s="3">
        <v>5</v>
      </c>
      <c r="O371" s="3">
        <v>0</v>
      </c>
      <c r="P371" s="3">
        <f t="shared" si="0"/>
        <v>0</v>
      </c>
      <c r="Q371" s="3">
        <f t="shared" si="1"/>
        <v>45</v>
      </c>
      <c r="R371" s="3">
        <f t="shared" si="2"/>
        <v>0</v>
      </c>
      <c r="S371" s="11"/>
    </row>
    <row r="372" ht="13.5" customHeight="1" spans="1:19">
      <c r="A372" s="4" t="s">
        <v>37</v>
      </c>
      <c r="B372" s="3">
        <v>1016</v>
      </c>
      <c r="C372" s="3">
        <v>5657</v>
      </c>
      <c r="D372" s="3">
        <v>0.1</v>
      </c>
      <c r="E372" s="4" t="s">
        <v>33</v>
      </c>
      <c r="F372" s="4" t="s">
        <v>136</v>
      </c>
      <c r="G372" s="3" t="s">
        <v>136</v>
      </c>
      <c r="H372" s="4" t="s">
        <v>40</v>
      </c>
      <c r="I372" s="4" t="s">
        <v>26</v>
      </c>
      <c r="J372" s="3">
        <v>3</v>
      </c>
      <c r="K372" s="3">
        <v>25</v>
      </c>
      <c r="L372" s="3">
        <v>11</v>
      </c>
      <c r="M372" s="3">
        <v>8</v>
      </c>
      <c r="N372" s="3">
        <v>3</v>
      </c>
      <c r="O372" s="3">
        <v>3</v>
      </c>
      <c r="P372" s="3">
        <f t="shared" si="0"/>
        <v>0</v>
      </c>
      <c r="Q372" s="3">
        <f t="shared" si="1"/>
        <v>50</v>
      </c>
      <c r="R372" s="3">
        <f t="shared" si="2"/>
        <v>13.6363636363636</v>
      </c>
      <c r="S372" s="11"/>
    </row>
    <row r="373" ht="13.5" customHeight="1" spans="1:19">
      <c r="A373" s="4" t="s">
        <v>37</v>
      </c>
      <c r="B373" s="3">
        <v>1016</v>
      </c>
      <c r="C373" s="3">
        <v>5657</v>
      </c>
      <c r="D373" s="3">
        <v>0.1</v>
      </c>
      <c r="E373" s="4" t="s">
        <v>33</v>
      </c>
      <c r="F373" s="4" t="s">
        <v>136</v>
      </c>
      <c r="G373" s="3" t="s">
        <v>136</v>
      </c>
      <c r="H373" s="4" t="s">
        <v>40</v>
      </c>
      <c r="I373" s="4" t="s">
        <v>26</v>
      </c>
      <c r="J373" s="3">
        <v>4</v>
      </c>
      <c r="K373" s="3">
        <v>25</v>
      </c>
      <c r="L373" s="3">
        <v>16</v>
      </c>
      <c r="M373" s="3">
        <v>5</v>
      </c>
      <c r="N373" s="3">
        <v>0</v>
      </c>
      <c r="O373" s="3">
        <v>4</v>
      </c>
      <c r="P373" s="3">
        <f t="shared" si="0"/>
        <v>0</v>
      </c>
      <c r="Q373" s="3">
        <f t="shared" si="1"/>
        <v>64</v>
      </c>
      <c r="R373" s="3">
        <f t="shared" si="2"/>
        <v>16</v>
      </c>
      <c r="S373" s="11"/>
    </row>
    <row r="374" ht="13.5" customHeight="1" spans="1:21">
      <c r="A374" s="4" t="s">
        <v>47</v>
      </c>
      <c r="B374" s="3">
        <v>1504</v>
      </c>
      <c r="C374" s="3">
        <v>9859</v>
      </c>
      <c r="D374" s="3">
        <v>0.1</v>
      </c>
      <c r="E374" s="4" t="s">
        <v>33</v>
      </c>
      <c r="F374" s="4" t="s">
        <v>67</v>
      </c>
      <c r="G374" s="4" t="s">
        <v>68</v>
      </c>
      <c r="H374" s="4" t="s">
        <v>40</v>
      </c>
      <c r="I374" s="4" t="s">
        <v>26</v>
      </c>
      <c r="J374" s="3">
        <v>1</v>
      </c>
      <c r="K374" s="3">
        <v>25</v>
      </c>
      <c r="L374" s="3">
        <v>18</v>
      </c>
      <c r="M374" s="3">
        <v>2</v>
      </c>
      <c r="N374" s="3">
        <v>0</v>
      </c>
      <c r="O374" s="3">
        <v>5</v>
      </c>
      <c r="P374" s="3">
        <f t="shared" si="0"/>
        <v>0</v>
      </c>
      <c r="Q374" s="3">
        <f t="shared" si="1"/>
        <v>72</v>
      </c>
      <c r="R374" s="3">
        <f t="shared" si="2"/>
        <v>20</v>
      </c>
      <c r="S374" s="11">
        <f>AVERAGE(Q374:Q377)</f>
        <v>74.7410714285714</v>
      </c>
      <c r="T374" s="7">
        <f>AVERAGE(R374:R377)</f>
        <v>23.2589285714286</v>
      </c>
      <c r="U374" s="8">
        <f>(L374+L375+L376+L377+O374+O375+O376+O377)/(K374+K375+K376+K377)*100</f>
        <v>73</v>
      </c>
    </row>
    <row r="375" ht="13.5" customHeight="1" spans="1:19">
      <c r="A375" s="4" t="s">
        <v>47</v>
      </c>
      <c r="B375" s="3">
        <v>1504</v>
      </c>
      <c r="C375" s="3">
        <v>9859</v>
      </c>
      <c r="D375" s="3">
        <v>0.1</v>
      </c>
      <c r="E375" s="4" t="s">
        <v>33</v>
      </c>
      <c r="F375" s="4" t="s">
        <v>67</v>
      </c>
      <c r="G375" s="4" t="s">
        <v>68</v>
      </c>
      <c r="H375" s="4" t="s">
        <v>40</v>
      </c>
      <c r="I375" s="4" t="s">
        <v>26</v>
      </c>
      <c r="J375" s="3">
        <v>2</v>
      </c>
      <c r="K375" s="3">
        <v>25</v>
      </c>
      <c r="L375" s="3">
        <v>12</v>
      </c>
      <c r="M375" s="3">
        <v>0</v>
      </c>
      <c r="N375" s="3">
        <v>11</v>
      </c>
      <c r="O375" s="3">
        <v>2</v>
      </c>
      <c r="P375" s="3">
        <f t="shared" si="0"/>
        <v>0</v>
      </c>
      <c r="Q375" s="3">
        <f t="shared" si="1"/>
        <v>85.7142857142857</v>
      </c>
      <c r="R375" s="3">
        <f t="shared" si="2"/>
        <v>14.2857142857143</v>
      </c>
      <c r="S375" s="11"/>
    </row>
    <row r="376" ht="13.5" customHeight="1" spans="1:19">
      <c r="A376" s="4" t="s">
        <v>47</v>
      </c>
      <c r="B376" s="3">
        <v>1504</v>
      </c>
      <c r="C376" s="3">
        <v>9859</v>
      </c>
      <c r="D376" s="3">
        <v>0.1</v>
      </c>
      <c r="E376" s="4" t="s">
        <v>33</v>
      </c>
      <c r="F376" s="4" t="s">
        <v>67</v>
      </c>
      <c r="G376" s="4" t="s">
        <v>68</v>
      </c>
      <c r="H376" s="4" t="s">
        <v>40</v>
      </c>
      <c r="I376" s="4" t="s">
        <v>26</v>
      </c>
      <c r="J376" s="3">
        <v>3</v>
      </c>
      <c r="K376" s="3">
        <v>25</v>
      </c>
      <c r="L376" s="3">
        <v>12</v>
      </c>
      <c r="M376" s="3">
        <v>0</v>
      </c>
      <c r="N376" s="3">
        <v>5</v>
      </c>
      <c r="O376" s="3">
        <v>8</v>
      </c>
      <c r="P376" s="3">
        <f t="shared" si="0"/>
        <v>0</v>
      </c>
      <c r="Q376" s="3">
        <f t="shared" si="1"/>
        <v>60</v>
      </c>
      <c r="R376" s="3">
        <f t="shared" si="2"/>
        <v>40</v>
      </c>
      <c r="S376" s="11"/>
    </row>
    <row r="377" ht="13.5" customHeight="1" spans="1:19">
      <c r="A377" s="4" t="s">
        <v>47</v>
      </c>
      <c r="B377" s="3">
        <v>1504</v>
      </c>
      <c r="C377" s="3">
        <v>9859</v>
      </c>
      <c r="D377" s="3">
        <v>0.1</v>
      </c>
      <c r="E377" s="4" t="s">
        <v>33</v>
      </c>
      <c r="F377" s="4" t="s">
        <v>67</v>
      </c>
      <c r="G377" s="4" t="s">
        <v>68</v>
      </c>
      <c r="H377" s="4" t="s">
        <v>40</v>
      </c>
      <c r="I377" s="4" t="s">
        <v>26</v>
      </c>
      <c r="J377" s="3">
        <v>4</v>
      </c>
      <c r="K377" s="3">
        <v>25</v>
      </c>
      <c r="L377" s="3">
        <v>13</v>
      </c>
      <c r="M377" s="3">
        <v>0</v>
      </c>
      <c r="N377" s="3">
        <v>9</v>
      </c>
      <c r="O377" s="3">
        <v>3</v>
      </c>
      <c r="P377" s="3">
        <f t="shared" si="0"/>
        <v>0</v>
      </c>
      <c r="Q377" s="3">
        <f t="shared" si="1"/>
        <v>81.25</v>
      </c>
      <c r="R377" s="3">
        <f t="shared" si="2"/>
        <v>18.75</v>
      </c>
      <c r="S377" s="11"/>
    </row>
    <row r="378" ht="13.5" customHeight="1" spans="1:21">
      <c r="A378" s="4" t="s">
        <v>21</v>
      </c>
      <c r="B378" s="3">
        <v>1236</v>
      </c>
      <c r="C378" s="3">
        <v>8460</v>
      </c>
      <c r="D378" s="3">
        <v>0.1</v>
      </c>
      <c r="E378" s="4" t="s">
        <v>22</v>
      </c>
      <c r="F378" s="4" t="s">
        <v>119</v>
      </c>
      <c r="G378" s="4" t="s">
        <v>119</v>
      </c>
      <c r="H378" s="4" t="s">
        <v>25</v>
      </c>
      <c r="I378" s="4" t="s">
        <v>26</v>
      </c>
      <c r="J378" s="3">
        <v>1</v>
      </c>
      <c r="K378" s="3">
        <v>25</v>
      </c>
      <c r="L378" s="3">
        <v>25</v>
      </c>
      <c r="M378" s="3">
        <v>0</v>
      </c>
      <c r="N378" s="3">
        <v>0</v>
      </c>
      <c r="O378" s="3">
        <v>0</v>
      </c>
      <c r="P378" s="3">
        <f t="shared" si="0"/>
        <v>0</v>
      </c>
      <c r="Q378" s="3">
        <f t="shared" si="1"/>
        <v>100</v>
      </c>
      <c r="R378" s="3">
        <f t="shared" si="2"/>
        <v>0</v>
      </c>
      <c r="S378" s="11">
        <f>AVERAGE(Q378:Q381)</f>
        <v>100</v>
      </c>
      <c r="T378" s="7">
        <f>AVERAGE(R378:R381)</f>
        <v>0</v>
      </c>
      <c r="U378" s="8">
        <f>(L378+L379+L380+L381+O378+O379+O380+O381)/(K378+K379+K380+K381)*100</f>
        <v>100</v>
      </c>
    </row>
    <row r="379" ht="13.5" customHeight="1" spans="1:19">
      <c r="A379" s="4" t="s">
        <v>21</v>
      </c>
      <c r="B379" s="3">
        <v>1236</v>
      </c>
      <c r="C379" s="3">
        <v>8460</v>
      </c>
      <c r="D379" s="3">
        <v>0.1</v>
      </c>
      <c r="E379" s="4" t="s">
        <v>22</v>
      </c>
      <c r="F379" s="4" t="s">
        <v>119</v>
      </c>
      <c r="G379" s="4" t="s">
        <v>119</v>
      </c>
      <c r="H379" s="4" t="s">
        <v>25</v>
      </c>
      <c r="I379" s="4" t="s">
        <v>26</v>
      </c>
      <c r="J379" s="3">
        <v>2</v>
      </c>
      <c r="K379" s="3">
        <v>25</v>
      </c>
      <c r="L379" s="3">
        <v>25</v>
      </c>
      <c r="M379" s="3">
        <v>0</v>
      </c>
      <c r="N379" s="3">
        <v>0</v>
      </c>
      <c r="O379" s="3">
        <v>0</v>
      </c>
      <c r="P379" s="3">
        <f t="shared" si="0"/>
        <v>0</v>
      </c>
      <c r="Q379" s="3">
        <f t="shared" si="1"/>
        <v>100</v>
      </c>
      <c r="R379" s="3">
        <f t="shared" si="2"/>
        <v>0</v>
      </c>
      <c r="S379" s="11"/>
    </row>
    <row r="380" ht="13.5" customHeight="1" spans="1:19">
      <c r="A380" s="4" t="s">
        <v>21</v>
      </c>
      <c r="B380" s="3">
        <v>1236</v>
      </c>
      <c r="C380" s="3">
        <v>8460</v>
      </c>
      <c r="D380" s="3">
        <v>0.1</v>
      </c>
      <c r="E380" s="4" t="s">
        <v>22</v>
      </c>
      <c r="F380" s="4" t="s">
        <v>119</v>
      </c>
      <c r="G380" s="4" t="s">
        <v>119</v>
      </c>
      <c r="H380" s="4" t="s">
        <v>25</v>
      </c>
      <c r="I380" s="4" t="s">
        <v>26</v>
      </c>
      <c r="J380" s="3">
        <v>3</v>
      </c>
      <c r="K380" s="3">
        <v>25</v>
      </c>
      <c r="L380" s="3">
        <v>25</v>
      </c>
      <c r="M380" s="3">
        <v>0</v>
      </c>
      <c r="N380" s="3">
        <v>0</v>
      </c>
      <c r="O380" s="3">
        <v>0</v>
      </c>
      <c r="P380" s="3">
        <f t="shared" si="0"/>
        <v>0</v>
      </c>
      <c r="Q380" s="3">
        <f t="shared" si="1"/>
        <v>100</v>
      </c>
      <c r="R380" s="3">
        <f t="shared" si="2"/>
        <v>0</v>
      </c>
      <c r="S380" s="11"/>
    </row>
    <row r="381" ht="13.5" customHeight="1" spans="1:19">
      <c r="A381" s="4" t="s">
        <v>21</v>
      </c>
      <c r="B381" s="3">
        <v>1236</v>
      </c>
      <c r="C381" s="3">
        <v>8460</v>
      </c>
      <c r="D381" s="3">
        <v>0.1</v>
      </c>
      <c r="E381" s="4" t="s">
        <v>22</v>
      </c>
      <c r="F381" s="4" t="s">
        <v>119</v>
      </c>
      <c r="G381" s="4" t="s">
        <v>119</v>
      </c>
      <c r="H381" s="4" t="s">
        <v>25</v>
      </c>
      <c r="I381" s="4" t="s">
        <v>26</v>
      </c>
      <c r="J381" s="3">
        <v>4</v>
      </c>
      <c r="K381" s="3">
        <v>25</v>
      </c>
      <c r="L381" s="3">
        <v>25</v>
      </c>
      <c r="M381" s="3">
        <v>0</v>
      </c>
      <c r="N381" s="3">
        <v>0</v>
      </c>
      <c r="O381" s="3">
        <v>0</v>
      </c>
      <c r="P381" s="3">
        <f t="shared" si="0"/>
        <v>0</v>
      </c>
      <c r="Q381" s="3">
        <f t="shared" si="1"/>
        <v>100</v>
      </c>
      <c r="R381" s="3">
        <f t="shared" si="2"/>
        <v>0</v>
      </c>
      <c r="S381" s="11"/>
    </row>
    <row r="382" ht="13.5" customHeight="1" spans="1:21">
      <c r="A382" s="4" t="s">
        <v>57</v>
      </c>
      <c r="B382" s="3">
        <v>1847</v>
      </c>
      <c r="C382" s="3">
        <v>10763</v>
      </c>
      <c r="D382" s="3">
        <v>2</v>
      </c>
      <c r="E382" s="4" t="s">
        <v>22</v>
      </c>
      <c r="F382" s="4" t="s">
        <v>137</v>
      </c>
      <c r="G382" s="4" t="s">
        <v>137</v>
      </c>
      <c r="H382" s="4" t="s">
        <v>40</v>
      </c>
      <c r="I382" s="4" t="s">
        <v>26</v>
      </c>
      <c r="J382" s="3">
        <v>1</v>
      </c>
      <c r="K382" s="3">
        <v>20</v>
      </c>
      <c r="L382" s="3">
        <v>15</v>
      </c>
      <c r="M382" s="3">
        <v>1</v>
      </c>
      <c r="N382" s="3">
        <v>1</v>
      </c>
      <c r="O382" s="3">
        <v>3</v>
      </c>
      <c r="P382" s="3">
        <f t="shared" si="0"/>
        <v>0</v>
      </c>
      <c r="Q382" s="3">
        <f t="shared" si="1"/>
        <v>78.9473684210526</v>
      </c>
      <c r="R382" s="3">
        <f t="shared" si="2"/>
        <v>15.7894736842105</v>
      </c>
      <c r="S382" s="11">
        <f>AVERAGE(Q382:Q385)</f>
        <v>85.3391148325359</v>
      </c>
      <c r="T382" s="7">
        <f>AVERAGE(R382:R385)</f>
        <v>8.20873205741626</v>
      </c>
      <c r="U382" s="8">
        <f>(L382+L383+L384+L385+O382+O383+O384+O385)/(K382+K383+K384+K385)*100</f>
        <v>91.304347826087</v>
      </c>
    </row>
    <row r="383" ht="13.5" customHeight="1" spans="1:19">
      <c r="A383" s="4" t="s">
        <v>57</v>
      </c>
      <c r="B383" s="3">
        <v>1847</v>
      </c>
      <c r="C383" s="3">
        <v>10763</v>
      </c>
      <c r="D383" s="3">
        <v>2</v>
      </c>
      <c r="E383" s="4" t="s">
        <v>22</v>
      </c>
      <c r="F383" s="4" t="s">
        <v>137</v>
      </c>
      <c r="G383" s="4" t="s">
        <v>137</v>
      </c>
      <c r="H383" s="4" t="s">
        <v>40</v>
      </c>
      <c r="I383" s="4" t="s">
        <v>26</v>
      </c>
      <c r="J383" s="3">
        <v>2</v>
      </c>
      <c r="K383" s="3">
        <v>25</v>
      </c>
      <c r="L383" s="3">
        <v>21</v>
      </c>
      <c r="M383" s="3">
        <v>4</v>
      </c>
      <c r="N383" s="3">
        <v>0</v>
      </c>
      <c r="O383" s="3">
        <v>0</v>
      </c>
      <c r="P383" s="3">
        <f t="shared" si="0"/>
        <v>0</v>
      </c>
      <c r="Q383" s="3">
        <f t="shared" si="1"/>
        <v>84</v>
      </c>
      <c r="R383" s="3">
        <f t="shared" si="2"/>
        <v>0</v>
      </c>
      <c r="S383" s="11"/>
    </row>
    <row r="384" ht="13.5" customHeight="1" spans="1:19">
      <c r="A384" s="4" t="s">
        <v>57</v>
      </c>
      <c r="B384" s="3">
        <v>1847</v>
      </c>
      <c r="C384" s="3">
        <v>10763</v>
      </c>
      <c r="D384" s="3">
        <v>2</v>
      </c>
      <c r="E384" s="4" t="s">
        <v>22</v>
      </c>
      <c r="F384" s="4" t="s">
        <v>137</v>
      </c>
      <c r="G384" s="4" t="s">
        <v>137</v>
      </c>
      <c r="H384" s="4" t="s">
        <v>40</v>
      </c>
      <c r="I384" s="4" t="s">
        <v>26</v>
      </c>
      <c r="J384" s="3">
        <v>3</v>
      </c>
      <c r="K384" s="3">
        <v>25</v>
      </c>
      <c r="L384" s="3">
        <v>21</v>
      </c>
      <c r="M384" s="3">
        <v>0</v>
      </c>
      <c r="N384" s="3">
        <v>1</v>
      </c>
      <c r="O384" s="3">
        <v>3</v>
      </c>
      <c r="P384" s="3">
        <f t="shared" si="0"/>
        <v>0</v>
      </c>
      <c r="Q384" s="3">
        <f t="shared" si="1"/>
        <v>87.5</v>
      </c>
      <c r="R384" s="3">
        <f t="shared" si="2"/>
        <v>12.5</v>
      </c>
      <c r="S384" s="11"/>
    </row>
    <row r="385" ht="13.5" customHeight="1" spans="1:19">
      <c r="A385" s="4" t="s">
        <v>57</v>
      </c>
      <c r="B385" s="3">
        <v>1847</v>
      </c>
      <c r="C385" s="3">
        <v>10763</v>
      </c>
      <c r="D385" s="3">
        <v>2</v>
      </c>
      <c r="E385" s="4" t="s">
        <v>22</v>
      </c>
      <c r="F385" s="4" t="s">
        <v>137</v>
      </c>
      <c r="G385" s="4" t="s">
        <v>137</v>
      </c>
      <c r="H385" s="4" t="s">
        <v>40</v>
      </c>
      <c r="I385" s="4" t="s">
        <v>26</v>
      </c>
      <c r="J385" s="3">
        <v>4</v>
      </c>
      <c r="K385" s="3">
        <v>22</v>
      </c>
      <c r="L385" s="3">
        <v>20</v>
      </c>
      <c r="M385" s="3">
        <v>1</v>
      </c>
      <c r="N385" s="3">
        <v>0</v>
      </c>
      <c r="O385" s="3">
        <v>1</v>
      </c>
      <c r="P385" s="3">
        <f t="shared" si="0"/>
        <v>0</v>
      </c>
      <c r="Q385" s="3">
        <f t="shared" si="1"/>
        <v>90.9090909090909</v>
      </c>
      <c r="R385" s="3">
        <f t="shared" si="2"/>
        <v>4.54545454545455</v>
      </c>
      <c r="S385" s="11"/>
    </row>
    <row r="386" ht="13.5" customHeight="1" spans="1:21">
      <c r="A386" s="4" t="s">
        <v>86</v>
      </c>
      <c r="B386" s="3">
        <v>1097</v>
      </c>
      <c r="C386" s="3">
        <v>6679</v>
      </c>
      <c r="D386" s="3">
        <v>0.1</v>
      </c>
      <c r="E386" s="4" t="s">
        <v>22</v>
      </c>
      <c r="F386" s="4" t="s">
        <v>51</v>
      </c>
      <c r="G386" s="4" t="s">
        <v>51</v>
      </c>
      <c r="H386" s="4" t="s">
        <v>25</v>
      </c>
      <c r="I386" s="4" t="s">
        <v>26</v>
      </c>
      <c r="J386" s="3">
        <v>1</v>
      </c>
      <c r="K386" s="3">
        <v>25</v>
      </c>
      <c r="L386" s="3">
        <v>25</v>
      </c>
      <c r="M386" s="3">
        <v>0</v>
      </c>
      <c r="N386" s="3">
        <v>0</v>
      </c>
      <c r="O386" s="3">
        <v>0</v>
      </c>
      <c r="P386" s="3">
        <f t="shared" si="0"/>
        <v>0</v>
      </c>
      <c r="Q386" s="3">
        <f t="shared" si="1"/>
        <v>100</v>
      </c>
      <c r="R386" s="3">
        <f t="shared" si="2"/>
        <v>0</v>
      </c>
      <c r="S386" s="11">
        <f>AVERAGE(Q386:Q389)</f>
        <v>100</v>
      </c>
      <c r="T386" s="7">
        <f>AVERAGE(R386:R389)</f>
        <v>0</v>
      </c>
      <c r="U386" s="8">
        <f>(L386+L387+L388+L389+O386+O387+O388+O389)/(K386+K387+K388+K389)*100</f>
        <v>100</v>
      </c>
    </row>
    <row r="387" ht="13.5" customHeight="1" spans="1:19">
      <c r="A387" s="4" t="s">
        <v>86</v>
      </c>
      <c r="B387" s="3">
        <v>1097</v>
      </c>
      <c r="C387" s="3">
        <v>6679</v>
      </c>
      <c r="D387" s="3">
        <v>0.1</v>
      </c>
      <c r="E387" s="4" t="s">
        <v>22</v>
      </c>
      <c r="F387" s="4" t="s">
        <v>51</v>
      </c>
      <c r="G387" s="4" t="s">
        <v>51</v>
      </c>
      <c r="H387" s="4" t="s">
        <v>25</v>
      </c>
      <c r="I387" s="4" t="s">
        <v>26</v>
      </c>
      <c r="J387" s="3">
        <v>2</v>
      </c>
      <c r="K387" s="3">
        <v>23</v>
      </c>
      <c r="L387" s="3">
        <v>23</v>
      </c>
      <c r="M387" s="3">
        <v>0</v>
      </c>
      <c r="N387" s="3">
        <v>0</v>
      </c>
      <c r="O387" s="3">
        <v>0</v>
      </c>
      <c r="P387" s="3">
        <f t="shared" si="0"/>
        <v>0</v>
      </c>
      <c r="Q387" s="3">
        <f t="shared" si="1"/>
        <v>100</v>
      </c>
      <c r="R387" s="3">
        <f t="shared" si="2"/>
        <v>0</v>
      </c>
      <c r="S387" s="11"/>
    </row>
    <row r="388" ht="13.5" customHeight="1" spans="1:19">
      <c r="A388" s="4" t="s">
        <v>86</v>
      </c>
      <c r="B388" s="3">
        <v>1097</v>
      </c>
      <c r="C388" s="3">
        <v>6679</v>
      </c>
      <c r="D388" s="3">
        <v>0.1</v>
      </c>
      <c r="E388" s="4" t="s">
        <v>22</v>
      </c>
      <c r="F388" s="4" t="s">
        <v>51</v>
      </c>
      <c r="G388" s="4" t="s">
        <v>51</v>
      </c>
      <c r="H388" s="4" t="s">
        <v>25</v>
      </c>
      <c r="I388" s="4" t="s">
        <v>26</v>
      </c>
      <c r="J388" s="3">
        <v>3</v>
      </c>
      <c r="K388" s="3">
        <v>25</v>
      </c>
      <c r="L388" s="3">
        <v>25</v>
      </c>
      <c r="M388" s="3">
        <v>0</v>
      </c>
      <c r="N388" s="3">
        <v>0</v>
      </c>
      <c r="O388" s="3">
        <v>0</v>
      </c>
      <c r="P388" s="3">
        <f t="shared" si="0"/>
        <v>0</v>
      </c>
      <c r="Q388" s="3">
        <f t="shared" si="1"/>
        <v>100</v>
      </c>
      <c r="R388" s="3">
        <f t="shared" si="2"/>
        <v>0</v>
      </c>
      <c r="S388" s="11"/>
    </row>
    <row r="389" ht="13.5" customHeight="1" spans="1:19">
      <c r="A389" s="4" t="s">
        <v>86</v>
      </c>
      <c r="B389" s="3">
        <v>1097</v>
      </c>
      <c r="C389" s="3">
        <v>6679</v>
      </c>
      <c r="D389" s="3">
        <v>0.1</v>
      </c>
      <c r="E389" s="4" t="s">
        <v>22</v>
      </c>
      <c r="F389" s="4" t="s">
        <v>51</v>
      </c>
      <c r="G389" s="4" t="s">
        <v>51</v>
      </c>
      <c r="H389" s="4" t="s">
        <v>25</v>
      </c>
      <c r="I389" s="4" t="s">
        <v>26</v>
      </c>
      <c r="J389" s="3">
        <v>4</v>
      </c>
      <c r="K389" s="3">
        <v>25</v>
      </c>
      <c r="L389" s="3">
        <v>25</v>
      </c>
      <c r="M389" s="3">
        <v>0</v>
      </c>
      <c r="N389" s="3">
        <v>0</v>
      </c>
      <c r="O389" s="3">
        <v>0</v>
      </c>
      <c r="P389" s="3">
        <f t="shared" si="0"/>
        <v>0</v>
      </c>
      <c r="Q389" s="3">
        <f t="shared" si="1"/>
        <v>100</v>
      </c>
      <c r="R389" s="3">
        <f t="shared" si="2"/>
        <v>0</v>
      </c>
      <c r="S389" s="11"/>
    </row>
    <row r="390" ht="13.5" customHeight="1" spans="1:21">
      <c r="A390" s="4" t="s">
        <v>84</v>
      </c>
      <c r="B390" s="3">
        <v>1177</v>
      </c>
      <c r="C390" s="3">
        <v>8175</v>
      </c>
      <c r="D390" s="3">
        <v>0.1</v>
      </c>
      <c r="E390" s="4" t="s">
        <v>22</v>
      </c>
      <c r="F390" s="4" t="s">
        <v>51</v>
      </c>
      <c r="G390" s="4" t="s">
        <v>51</v>
      </c>
      <c r="H390" s="4" t="s">
        <v>25</v>
      </c>
      <c r="I390" s="4" t="s">
        <v>26</v>
      </c>
      <c r="J390" s="3">
        <v>1</v>
      </c>
      <c r="K390" s="3">
        <v>20</v>
      </c>
      <c r="L390" s="3">
        <v>20</v>
      </c>
      <c r="M390" s="3">
        <v>0</v>
      </c>
      <c r="N390" s="3">
        <v>0</v>
      </c>
      <c r="O390" s="3">
        <v>0</v>
      </c>
      <c r="P390" s="3">
        <f t="shared" si="0"/>
        <v>0</v>
      </c>
      <c r="Q390" s="3">
        <f t="shared" si="1"/>
        <v>100</v>
      </c>
      <c r="R390" s="3">
        <f t="shared" si="2"/>
        <v>0</v>
      </c>
      <c r="S390" s="11">
        <f>AVERAGE(Q390:Q393)</f>
        <v>100</v>
      </c>
      <c r="T390" s="7">
        <f>AVERAGE(R390:R393)</f>
        <v>0</v>
      </c>
      <c r="U390" s="8">
        <f>(L390+L391+L392+L393+O390+O391+O392+O393)/(K390+K391+K392+K393)*100</f>
        <v>100</v>
      </c>
    </row>
    <row r="391" ht="13.5" customHeight="1" spans="1:19">
      <c r="A391" s="4" t="s">
        <v>84</v>
      </c>
      <c r="B391" s="3">
        <v>1177</v>
      </c>
      <c r="C391" s="3">
        <v>8175</v>
      </c>
      <c r="D391" s="3">
        <v>0.1</v>
      </c>
      <c r="E391" s="4" t="s">
        <v>22</v>
      </c>
      <c r="F391" s="4" t="s">
        <v>51</v>
      </c>
      <c r="G391" s="4" t="s">
        <v>51</v>
      </c>
      <c r="H391" s="4" t="s">
        <v>25</v>
      </c>
      <c r="I391" s="4" t="s">
        <v>26</v>
      </c>
      <c r="J391" s="3">
        <v>2</v>
      </c>
      <c r="K391" s="3">
        <v>20</v>
      </c>
      <c r="L391" s="3">
        <v>20</v>
      </c>
      <c r="M391" s="3">
        <v>0</v>
      </c>
      <c r="N391" s="3">
        <v>0</v>
      </c>
      <c r="O391" s="3">
        <v>0</v>
      </c>
      <c r="P391" s="3">
        <f t="shared" si="0"/>
        <v>0</v>
      </c>
      <c r="Q391" s="3">
        <f t="shared" si="1"/>
        <v>100</v>
      </c>
      <c r="R391" s="3">
        <f t="shared" si="2"/>
        <v>0</v>
      </c>
      <c r="S391" s="11"/>
    </row>
    <row r="392" ht="13.5" customHeight="1" spans="1:19">
      <c r="A392" s="4" t="s">
        <v>84</v>
      </c>
      <c r="B392" s="3">
        <v>1177</v>
      </c>
      <c r="C392" s="3">
        <v>8175</v>
      </c>
      <c r="D392" s="3">
        <v>0.1</v>
      </c>
      <c r="E392" s="4" t="s">
        <v>22</v>
      </c>
      <c r="F392" s="4" t="s">
        <v>51</v>
      </c>
      <c r="G392" s="4" t="s">
        <v>51</v>
      </c>
      <c r="H392" s="4" t="s">
        <v>25</v>
      </c>
      <c r="I392" s="4" t="s">
        <v>26</v>
      </c>
      <c r="J392" s="3">
        <v>3</v>
      </c>
      <c r="K392" s="3">
        <v>20</v>
      </c>
      <c r="L392" s="3">
        <v>20</v>
      </c>
      <c r="M392" s="3">
        <v>0</v>
      </c>
      <c r="N392" s="3">
        <v>0</v>
      </c>
      <c r="O392" s="3">
        <v>0</v>
      </c>
      <c r="P392" s="3">
        <f t="shared" si="0"/>
        <v>0</v>
      </c>
      <c r="Q392" s="3">
        <f t="shared" si="1"/>
        <v>100</v>
      </c>
      <c r="R392" s="3">
        <f t="shared" si="2"/>
        <v>0</v>
      </c>
      <c r="S392" s="11"/>
    </row>
    <row r="393" ht="13.5" customHeight="1" spans="1:19">
      <c r="A393" s="4" t="s">
        <v>84</v>
      </c>
      <c r="B393" s="3">
        <v>1177</v>
      </c>
      <c r="C393" s="3">
        <v>8175</v>
      </c>
      <c r="D393" s="3">
        <v>0.1</v>
      </c>
      <c r="E393" s="4" t="s">
        <v>22</v>
      </c>
      <c r="F393" s="4" t="s">
        <v>51</v>
      </c>
      <c r="G393" s="4" t="s">
        <v>51</v>
      </c>
      <c r="H393" s="4" t="s">
        <v>25</v>
      </c>
      <c r="I393" s="4" t="s">
        <v>26</v>
      </c>
      <c r="J393" s="3">
        <v>4</v>
      </c>
      <c r="K393" s="3">
        <v>20</v>
      </c>
      <c r="L393" s="3">
        <v>20</v>
      </c>
      <c r="M393" s="3">
        <v>0</v>
      </c>
      <c r="N393" s="3">
        <v>0</v>
      </c>
      <c r="O393" s="3">
        <v>0</v>
      </c>
      <c r="P393" s="3">
        <f t="shared" si="0"/>
        <v>0</v>
      </c>
      <c r="Q393" s="3">
        <f t="shared" si="1"/>
        <v>100</v>
      </c>
      <c r="R393" s="3">
        <f t="shared" si="2"/>
        <v>0</v>
      </c>
      <c r="S393" s="11"/>
    </row>
    <row r="394" ht="13.5" customHeight="1" spans="1:21">
      <c r="A394" s="4" t="s">
        <v>122</v>
      </c>
      <c r="B394" s="3">
        <v>1017</v>
      </c>
      <c r="C394" s="3">
        <v>5938</v>
      </c>
      <c r="D394" s="3">
        <v>0.1</v>
      </c>
      <c r="E394" s="4" t="s">
        <v>22</v>
      </c>
      <c r="F394" s="4" t="s">
        <v>51</v>
      </c>
      <c r="G394" s="4" t="s">
        <v>51</v>
      </c>
      <c r="H394" s="4" t="s">
        <v>25</v>
      </c>
      <c r="I394" s="4" t="s">
        <v>26</v>
      </c>
      <c r="J394" s="3">
        <v>1</v>
      </c>
      <c r="K394" s="3">
        <v>25</v>
      </c>
      <c r="L394" s="3">
        <v>25</v>
      </c>
      <c r="M394" s="3">
        <v>0</v>
      </c>
      <c r="N394" s="3">
        <v>0</v>
      </c>
      <c r="O394" s="3">
        <v>0</v>
      </c>
      <c r="P394" s="3">
        <f t="shared" si="0"/>
        <v>0</v>
      </c>
      <c r="Q394" s="3">
        <f t="shared" si="1"/>
        <v>100</v>
      </c>
      <c r="R394" s="3">
        <f t="shared" si="2"/>
        <v>0</v>
      </c>
      <c r="S394" s="11">
        <f>AVERAGE(Q394:Q397)</f>
        <v>98.9583333333333</v>
      </c>
      <c r="T394" s="7">
        <f>AVERAGE(R394:R397)</f>
        <v>1.04166666666667</v>
      </c>
      <c r="U394" s="8">
        <f>(L394+L395+L396+L397+O394+O395+O396+O397)/(K394+K395+K396+K397)*100</f>
        <v>99</v>
      </c>
    </row>
    <row r="395" ht="13.5" customHeight="1" spans="1:19">
      <c r="A395" s="4" t="s">
        <v>122</v>
      </c>
      <c r="B395" s="3">
        <v>1017</v>
      </c>
      <c r="C395" s="3">
        <v>5938</v>
      </c>
      <c r="D395" s="3">
        <v>0.1</v>
      </c>
      <c r="E395" s="4" t="s">
        <v>22</v>
      </c>
      <c r="F395" s="4" t="s">
        <v>51</v>
      </c>
      <c r="G395" s="4" t="s">
        <v>51</v>
      </c>
      <c r="H395" s="4" t="s">
        <v>25</v>
      </c>
      <c r="I395" s="4" t="s">
        <v>26</v>
      </c>
      <c r="J395" s="3">
        <v>2</v>
      </c>
      <c r="K395" s="3">
        <v>25</v>
      </c>
      <c r="L395" s="3">
        <v>25</v>
      </c>
      <c r="M395" s="3">
        <v>0</v>
      </c>
      <c r="N395" s="3">
        <v>0</v>
      </c>
      <c r="O395" s="3">
        <v>0</v>
      </c>
      <c r="P395" s="3">
        <f t="shared" si="0"/>
        <v>0</v>
      </c>
      <c r="Q395" s="3">
        <f t="shared" si="1"/>
        <v>100</v>
      </c>
      <c r="R395" s="3">
        <f t="shared" si="2"/>
        <v>0</v>
      </c>
      <c r="S395" s="11"/>
    </row>
    <row r="396" ht="13.5" customHeight="1" spans="1:19">
      <c r="A396" s="4" t="s">
        <v>122</v>
      </c>
      <c r="B396" s="3">
        <v>1017</v>
      </c>
      <c r="C396" s="3">
        <v>5938</v>
      </c>
      <c r="D396" s="3">
        <v>0.1</v>
      </c>
      <c r="E396" s="4" t="s">
        <v>22</v>
      </c>
      <c r="F396" s="4" t="s">
        <v>51</v>
      </c>
      <c r="G396" s="4" t="s">
        <v>51</v>
      </c>
      <c r="H396" s="4" t="s">
        <v>25</v>
      </c>
      <c r="I396" s="4" t="s">
        <v>26</v>
      </c>
      <c r="J396" s="3">
        <v>3</v>
      </c>
      <c r="K396" s="3">
        <v>25</v>
      </c>
      <c r="L396" s="3">
        <v>23</v>
      </c>
      <c r="M396" s="3">
        <v>0</v>
      </c>
      <c r="N396" s="3">
        <v>1</v>
      </c>
      <c r="O396" s="3">
        <v>1</v>
      </c>
      <c r="P396" s="3">
        <f t="shared" si="0"/>
        <v>0</v>
      </c>
      <c r="Q396" s="3">
        <f t="shared" si="1"/>
        <v>95.8333333333333</v>
      </c>
      <c r="R396" s="3">
        <f t="shared" si="2"/>
        <v>4.16666666666667</v>
      </c>
      <c r="S396" s="11"/>
    </row>
    <row r="397" ht="13.5" customHeight="1" spans="1:19">
      <c r="A397" s="4" t="s">
        <v>122</v>
      </c>
      <c r="B397" s="3">
        <v>1017</v>
      </c>
      <c r="C397" s="3">
        <v>5938</v>
      </c>
      <c r="D397" s="3">
        <v>0.1</v>
      </c>
      <c r="E397" s="4" t="s">
        <v>22</v>
      </c>
      <c r="F397" s="4" t="s">
        <v>51</v>
      </c>
      <c r="G397" s="4" t="s">
        <v>51</v>
      </c>
      <c r="H397" s="4" t="s">
        <v>25</v>
      </c>
      <c r="I397" s="4" t="s">
        <v>26</v>
      </c>
      <c r="J397" s="3">
        <v>4</v>
      </c>
      <c r="K397" s="3">
        <v>25</v>
      </c>
      <c r="L397" s="3">
        <v>25</v>
      </c>
      <c r="M397" s="3">
        <v>0</v>
      </c>
      <c r="N397" s="3">
        <v>0</v>
      </c>
      <c r="O397" s="3">
        <v>0</v>
      </c>
      <c r="P397" s="3">
        <f t="shared" si="0"/>
        <v>0</v>
      </c>
      <c r="Q397" s="3">
        <f t="shared" si="1"/>
        <v>100</v>
      </c>
      <c r="R397" s="3">
        <f t="shared" si="2"/>
        <v>0</v>
      </c>
      <c r="S397" s="11"/>
    </row>
    <row r="398" ht="13.5" customHeight="1" spans="1:21">
      <c r="A398" s="4" t="s">
        <v>42</v>
      </c>
      <c r="B398" s="3">
        <v>1441</v>
      </c>
      <c r="C398" s="3">
        <v>9420</v>
      </c>
      <c r="D398" s="3">
        <v>0.1</v>
      </c>
      <c r="E398" s="4" t="s">
        <v>33</v>
      </c>
      <c r="F398" s="4" t="s">
        <v>123</v>
      </c>
      <c r="G398" s="4" t="s">
        <v>124</v>
      </c>
      <c r="H398" s="4" t="s">
        <v>40</v>
      </c>
      <c r="I398" s="4" t="s">
        <v>26</v>
      </c>
      <c r="J398" s="3">
        <v>1</v>
      </c>
      <c r="K398" s="3">
        <v>25</v>
      </c>
      <c r="L398" s="3">
        <v>19</v>
      </c>
      <c r="M398" s="3">
        <v>0</v>
      </c>
      <c r="N398" s="3">
        <v>5</v>
      </c>
      <c r="O398" s="3">
        <v>1</v>
      </c>
      <c r="P398" s="3">
        <f t="shared" si="0"/>
        <v>0</v>
      </c>
      <c r="Q398" s="3">
        <f t="shared" si="1"/>
        <v>95</v>
      </c>
      <c r="R398" s="3">
        <f t="shared" si="2"/>
        <v>5</v>
      </c>
      <c r="S398" s="11">
        <f>AVERAGE(Q398:Q401)</f>
        <v>96.25</v>
      </c>
      <c r="T398" s="7">
        <f>AVERAGE(R398:R401)</f>
        <v>3.75</v>
      </c>
      <c r="U398" s="8">
        <f>(L398+L399+L400+L401+O398+O399+O400+O401)/(K398+K399+K400+K401)*100</f>
        <v>81</v>
      </c>
    </row>
    <row r="399" ht="13.5" customHeight="1" spans="1:19">
      <c r="A399" s="4" t="s">
        <v>42</v>
      </c>
      <c r="B399" s="3">
        <v>1441</v>
      </c>
      <c r="C399" s="3">
        <v>9420</v>
      </c>
      <c r="D399" s="3">
        <v>0.1</v>
      </c>
      <c r="E399" s="4" t="s">
        <v>33</v>
      </c>
      <c r="F399" s="4" t="s">
        <v>123</v>
      </c>
      <c r="G399" s="4" t="s">
        <v>124</v>
      </c>
      <c r="H399" s="4" t="s">
        <v>40</v>
      </c>
      <c r="I399" s="4" t="s">
        <v>26</v>
      </c>
      <c r="J399" s="3">
        <v>2</v>
      </c>
      <c r="K399" s="3">
        <v>25</v>
      </c>
      <c r="L399" s="3">
        <v>18</v>
      </c>
      <c r="M399" s="3">
        <v>0</v>
      </c>
      <c r="N399" s="3">
        <v>7</v>
      </c>
      <c r="O399" s="3">
        <v>0</v>
      </c>
      <c r="P399" s="3">
        <f t="shared" si="0"/>
        <v>0</v>
      </c>
      <c r="Q399" s="3">
        <f t="shared" si="1"/>
        <v>100</v>
      </c>
      <c r="R399" s="3">
        <f t="shared" si="2"/>
        <v>0</v>
      </c>
      <c r="S399" s="11"/>
    </row>
    <row r="400" ht="13.5" customHeight="1" spans="1:19">
      <c r="A400" s="4" t="s">
        <v>42</v>
      </c>
      <c r="B400" s="3">
        <v>1441</v>
      </c>
      <c r="C400" s="3">
        <v>9420</v>
      </c>
      <c r="D400" s="3">
        <v>0.1</v>
      </c>
      <c r="E400" s="4" t="s">
        <v>33</v>
      </c>
      <c r="F400" s="4" t="s">
        <v>123</v>
      </c>
      <c r="G400" s="4" t="s">
        <v>124</v>
      </c>
      <c r="H400" s="4" t="s">
        <v>40</v>
      </c>
      <c r="I400" s="4" t="s">
        <v>26</v>
      </c>
      <c r="J400" s="3">
        <v>3</v>
      </c>
      <c r="K400" s="3">
        <v>25</v>
      </c>
      <c r="L400" s="3">
        <v>23</v>
      </c>
      <c r="M400" s="3">
        <v>0</v>
      </c>
      <c r="N400" s="3">
        <v>2</v>
      </c>
      <c r="O400" s="3">
        <v>0</v>
      </c>
      <c r="P400" s="3">
        <f t="shared" si="0"/>
        <v>0</v>
      </c>
      <c r="Q400" s="3">
        <f t="shared" si="1"/>
        <v>100</v>
      </c>
      <c r="R400" s="3">
        <f t="shared" si="2"/>
        <v>0</v>
      </c>
      <c r="S400" s="11"/>
    </row>
    <row r="401" ht="13.5" customHeight="1" spans="1:19">
      <c r="A401" s="4" t="s">
        <v>42</v>
      </c>
      <c r="B401" s="3">
        <v>1441</v>
      </c>
      <c r="C401" s="3">
        <v>9420</v>
      </c>
      <c r="D401" s="3">
        <v>0.1</v>
      </c>
      <c r="E401" s="4" t="s">
        <v>33</v>
      </c>
      <c r="F401" s="4" t="s">
        <v>123</v>
      </c>
      <c r="G401" s="4" t="s">
        <v>124</v>
      </c>
      <c r="H401" s="4" t="s">
        <v>40</v>
      </c>
      <c r="I401" s="4" t="s">
        <v>26</v>
      </c>
      <c r="J401" s="3">
        <v>4</v>
      </c>
      <c r="K401" s="3">
        <v>25</v>
      </c>
      <c r="L401" s="3">
        <v>18</v>
      </c>
      <c r="M401" s="3">
        <v>0</v>
      </c>
      <c r="N401" s="3">
        <v>5</v>
      </c>
      <c r="O401" s="3">
        <v>2</v>
      </c>
      <c r="P401" s="3">
        <f t="shared" si="0"/>
        <v>0</v>
      </c>
      <c r="Q401" s="3">
        <f t="shared" si="1"/>
        <v>90</v>
      </c>
      <c r="R401" s="3">
        <f t="shared" si="2"/>
        <v>10</v>
      </c>
      <c r="S401" s="11"/>
    </row>
    <row r="402" ht="13.5" customHeight="1" spans="1:21">
      <c r="A402" s="4" t="s">
        <v>60</v>
      </c>
      <c r="B402" s="3">
        <v>1330</v>
      </c>
      <c r="C402" s="3">
        <v>9133</v>
      </c>
      <c r="D402" s="3">
        <v>0.1</v>
      </c>
      <c r="E402" s="4" t="s">
        <v>22</v>
      </c>
      <c r="F402" s="4" t="s">
        <v>119</v>
      </c>
      <c r="G402" s="4" t="s">
        <v>119</v>
      </c>
      <c r="H402" s="4" t="s">
        <v>25</v>
      </c>
      <c r="I402" s="4" t="s">
        <v>26</v>
      </c>
      <c r="J402" s="3">
        <v>1</v>
      </c>
      <c r="K402" s="3">
        <v>25</v>
      </c>
      <c r="L402" s="3">
        <v>25</v>
      </c>
      <c r="M402" s="3">
        <v>0</v>
      </c>
      <c r="N402" s="3">
        <v>0</v>
      </c>
      <c r="O402" s="3">
        <v>0</v>
      </c>
      <c r="P402" s="3">
        <f t="shared" si="0"/>
        <v>0</v>
      </c>
      <c r="Q402" s="3">
        <f t="shared" si="1"/>
        <v>100</v>
      </c>
      <c r="R402" s="3">
        <f t="shared" si="2"/>
        <v>0</v>
      </c>
      <c r="S402" s="11">
        <f>AVERAGE(Q402:Q405)</f>
        <v>99</v>
      </c>
      <c r="T402" s="7">
        <f>AVERAGE(R402:R405)</f>
        <v>1</v>
      </c>
      <c r="U402" s="8">
        <f>(L402+L403+L404+L405+O402+O403+O404+O405)/(K402+K403+K404+K405)*100</f>
        <v>100</v>
      </c>
    </row>
    <row r="403" ht="13.5" customHeight="1" spans="1:19">
      <c r="A403" s="4" t="s">
        <v>60</v>
      </c>
      <c r="B403" s="3">
        <v>1330</v>
      </c>
      <c r="C403" s="3">
        <v>9133</v>
      </c>
      <c r="D403" s="3">
        <v>0.1</v>
      </c>
      <c r="E403" s="4" t="s">
        <v>22</v>
      </c>
      <c r="F403" s="4" t="s">
        <v>119</v>
      </c>
      <c r="G403" s="4" t="s">
        <v>119</v>
      </c>
      <c r="H403" s="4" t="s">
        <v>25</v>
      </c>
      <c r="I403" s="4" t="s">
        <v>26</v>
      </c>
      <c r="J403" s="3">
        <v>2</v>
      </c>
      <c r="K403" s="3">
        <v>25</v>
      </c>
      <c r="L403" s="3">
        <v>25</v>
      </c>
      <c r="M403" s="3">
        <v>0</v>
      </c>
      <c r="N403" s="3">
        <v>0</v>
      </c>
      <c r="O403" s="3">
        <v>0</v>
      </c>
      <c r="P403" s="3">
        <f t="shared" si="0"/>
        <v>0</v>
      </c>
      <c r="Q403" s="3">
        <f t="shared" si="1"/>
        <v>100</v>
      </c>
      <c r="R403" s="3">
        <f t="shared" si="2"/>
        <v>0</v>
      </c>
      <c r="S403" s="11"/>
    </row>
    <row r="404" ht="13.5" customHeight="1" spans="1:19">
      <c r="A404" s="4" t="s">
        <v>60</v>
      </c>
      <c r="B404" s="3">
        <v>1330</v>
      </c>
      <c r="C404" s="3">
        <v>9133</v>
      </c>
      <c r="D404" s="3">
        <v>0.1</v>
      </c>
      <c r="E404" s="4" t="s">
        <v>22</v>
      </c>
      <c r="F404" s="4" t="s">
        <v>119</v>
      </c>
      <c r="G404" s="4" t="s">
        <v>119</v>
      </c>
      <c r="H404" s="4" t="s">
        <v>25</v>
      </c>
      <c r="I404" s="4" t="s">
        <v>26</v>
      </c>
      <c r="J404" s="3">
        <v>3</v>
      </c>
      <c r="K404" s="3">
        <v>25</v>
      </c>
      <c r="L404" s="3">
        <v>25</v>
      </c>
      <c r="M404" s="3">
        <v>0</v>
      </c>
      <c r="N404" s="3">
        <v>0</v>
      </c>
      <c r="O404" s="3">
        <v>0</v>
      </c>
      <c r="P404" s="3">
        <f t="shared" si="0"/>
        <v>0</v>
      </c>
      <c r="Q404" s="3">
        <f t="shared" si="1"/>
        <v>100</v>
      </c>
      <c r="R404" s="3">
        <f t="shared" si="2"/>
        <v>0</v>
      </c>
      <c r="S404" s="11"/>
    </row>
    <row r="405" ht="13.5" customHeight="1" spans="1:19">
      <c r="A405" s="4" t="s">
        <v>60</v>
      </c>
      <c r="B405" s="3">
        <v>1330</v>
      </c>
      <c r="C405" s="3">
        <v>9133</v>
      </c>
      <c r="D405" s="3">
        <v>0.1</v>
      </c>
      <c r="E405" s="4" t="s">
        <v>22</v>
      </c>
      <c r="F405" s="4" t="s">
        <v>119</v>
      </c>
      <c r="G405" s="4" t="s">
        <v>119</v>
      </c>
      <c r="H405" s="4" t="s">
        <v>25</v>
      </c>
      <c r="I405" s="4" t="s">
        <v>26</v>
      </c>
      <c r="J405" s="3">
        <v>4</v>
      </c>
      <c r="K405" s="3">
        <v>25</v>
      </c>
      <c r="L405" s="3">
        <v>24</v>
      </c>
      <c r="M405" s="3">
        <v>0</v>
      </c>
      <c r="N405" s="3">
        <v>0</v>
      </c>
      <c r="O405" s="3">
        <v>1</v>
      </c>
      <c r="P405" s="3">
        <f t="shared" si="0"/>
        <v>0</v>
      </c>
      <c r="Q405" s="3">
        <f t="shared" si="1"/>
        <v>96</v>
      </c>
      <c r="R405" s="3">
        <f t="shared" si="2"/>
        <v>4</v>
      </c>
      <c r="S405" s="11"/>
    </row>
    <row r="406" ht="13.5" customHeight="1" spans="1:21">
      <c r="A406" s="4" t="s">
        <v>42</v>
      </c>
      <c r="B406" s="3">
        <v>1441</v>
      </c>
      <c r="C406" s="3">
        <v>9420</v>
      </c>
      <c r="D406" s="3">
        <v>0.1</v>
      </c>
      <c r="E406" s="4" t="s">
        <v>22</v>
      </c>
      <c r="F406" s="4" t="s">
        <v>119</v>
      </c>
      <c r="G406" s="4" t="s">
        <v>119</v>
      </c>
      <c r="H406" s="4" t="s">
        <v>25</v>
      </c>
      <c r="I406" s="4" t="s">
        <v>26</v>
      </c>
      <c r="J406" s="3">
        <v>1</v>
      </c>
      <c r="K406" s="3">
        <v>25</v>
      </c>
      <c r="L406" s="3">
        <v>24</v>
      </c>
      <c r="M406" s="3">
        <v>0</v>
      </c>
      <c r="N406" s="3">
        <v>0</v>
      </c>
      <c r="O406" s="3">
        <v>1</v>
      </c>
      <c r="P406" s="3">
        <f t="shared" si="0"/>
        <v>0</v>
      </c>
      <c r="Q406" s="3">
        <f t="shared" si="1"/>
        <v>96</v>
      </c>
      <c r="R406" s="3">
        <f t="shared" si="2"/>
        <v>4</v>
      </c>
      <c r="S406" s="11">
        <f>AVERAGE(Q406:Q409)</f>
        <v>96</v>
      </c>
      <c r="T406" s="7">
        <f>AVERAGE(R406:R409)</f>
        <v>4</v>
      </c>
      <c r="U406" s="8">
        <f>(L406+L407+L408+L409+O406+O407+O408+O409)/(K406+K407+K408+K409)*100</f>
        <v>100</v>
      </c>
    </row>
    <row r="407" ht="13.5" customHeight="1" spans="1:19">
      <c r="A407" s="4" t="s">
        <v>42</v>
      </c>
      <c r="B407" s="3">
        <v>1441</v>
      </c>
      <c r="C407" s="3">
        <v>9420</v>
      </c>
      <c r="D407" s="3">
        <v>0.1</v>
      </c>
      <c r="E407" s="4" t="s">
        <v>22</v>
      </c>
      <c r="F407" s="4" t="s">
        <v>119</v>
      </c>
      <c r="G407" s="4" t="s">
        <v>119</v>
      </c>
      <c r="H407" s="4" t="s">
        <v>25</v>
      </c>
      <c r="I407" s="4" t="s">
        <v>26</v>
      </c>
      <c r="J407" s="3">
        <v>2</v>
      </c>
      <c r="K407" s="3">
        <v>25</v>
      </c>
      <c r="L407" s="3">
        <v>23</v>
      </c>
      <c r="M407" s="3">
        <v>0</v>
      </c>
      <c r="N407" s="3">
        <v>0</v>
      </c>
      <c r="O407" s="3">
        <v>2</v>
      </c>
      <c r="P407" s="3">
        <f t="shared" si="0"/>
        <v>0</v>
      </c>
      <c r="Q407" s="3">
        <f t="shared" si="1"/>
        <v>92</v>
      </c>
      <c r="R407" s="3">
        <f t="shared" si="2"/>
        <v>8</v>
      </c>
      <c r="S407" s="11"/>
    </row>
    <row r="408" ht="13.5" customHeight="1" spans="1:19">
      <c r="A408" s="4" t="s">
        <v>42</v>
      </c>
      <c r="B408" s="3">
        <v>1441</v>
      </c>
      <c r="C408" s="3">
        <v>9420</v>
      </c>
      <c r="D408" s="3">
        <v>0.1</v>
      </c>
      <c r="E408" s="4" t="s">
        <v>22</v>
      </c>
      <c r="F408" s="4" t="s">
        <v>119</v>
      </c>
      <c r="G408" s="4" t="s">
        <v>119</v>
      </c>
      <c r="H408" s="4" t="s">
        <v>25</v>
      </c>
      <c r="I408" s="4" t="s">
        <v>26</v>
      </c>
      <c r="J408" s="3">
        <v>3</v>
      </c>
      <c r="K408" s="3">
        <v>25</v>
      </c>
      <c r="L408" s="3">
        <v>25</v>
      </c>
      <c r="M408" s="3">
        <v>0</v>
      </c>
      <c r="N408" s="3">
        <v>0</v>
      </c>
      <c r="O408" s="3">
        <v>0</v>
      </c>
      <c r="P408" s="3">
        <f t="shared" si="0"/>
        <v>0</v>
      </c>
      <c r="Q408" s="3">
        <f t="shared" si="1"/>
        <v>100</v>
      </c>
      <c r="R408" s="3">
        <f t="shared" si="2"/>
        <v>0</v>
      </c>
      <c r="S408" s="11"/>
    </row>
    <row r="409" ht="13.5" customHeight="1" spans="1:19">
      <c r="A409" s="4" t="s">
        <v>42</v>
      </c>
      <c r="B409" s="3">
        <v>1441</v>
      </c>
      <c r="C409" s="3">
        <v>9420</v>
      </c>
      <c r="D409" s="3">
        <v>0.1</v>
      </c>
      <c r="E409" s="4" t="s">
        <v>22</v>
      </c>
      <c r="F409" s="4" t="s">
        <v>119</v>
      </c>
      <c r="G409" s="4" t="s">
        <v>119</v>
      </c>
      <c r="H409" s="4" t="s">
        <v>25</v>
      </c>
      <c r="I409" s="4" t="s">
        <v>26</v>
      </c>
      <c r="J409" s="3">
        <v>4</v>
      </c>
      <c r="K409" s="3">
        <v>25</v>
      </c>
      <c r="L409" s="3">
        <v>24</v>
      </c>
      <c r="M409" s="3">
        <v>0</v>
      </c>
      <c r="N409" s="3">
        <v>0</v>
      </c>
      <c r="O409" s="3">
        <v>1</v>
      </c>
      <c r="P409" s="3">
        <f t="shared" si="0"/>
        <v>0</v>
      </c>
      <c r="Q409" s="3">
        <f t="shared" si="1"/>
        <v>96</v>
      </c>
      <c r="R409" s="3">
        <f t="shared" si="2"/>
        <v>4</v>
      </c>
      <c r="S409" s="11"/>
    </row>
    <row r="410" ht="13.5" customHeight="1" spans="1:21">
      <c r="A410" s="4" t="s">
        <v>60</v>
      </c>
      <c r="B410" s="3">
        <v>1330</v>
      </c>
      <c r="C410" s="3">
        <v>9133</v>
      </c>
      <c r="D410" s="3">
        <v>0.1</v>
      </c>
      <c r="E410" s="4" t="s">
        <v>22</v>
      </c>
      <c r="F410" s="4" t="s">
        <v>51</v>
      </c>
      <c r="G410" s="4" t="s">
        <v>51</v>
      </c>
      <c r="H410" s="4" t="s">
        <v>25</v>
      </c>
      <c r="I410" s="4" t="s">
        <v>26</v>
      </c>
      <c r="J410" s="3">
        <v>1</v>
      </c>
      <c r="K410" s="3">
        <v>25</v>
      </c>
      <c r="L410" s="3">
        <v>24</v>
      </c>
      <c r="M410" s="3">
        <v>1</v>
      </c>
      <c r="N410" s="3">
        <v>0</v>
      </c>
      <c r="O410" s="3">
        <v>0</v>
      </c>
      <c r="P410" s="3">
        <f t="shared" si="0"/>
        <v>0</v>
      </c>
      <c r="Q410" s="3">
        <f t="shared" si="1"/>
        <v>96</v>
      </c>
      <c r="R410" s="3">
        <f t="shared" si="2"/>
        <v>0</v>
      </c>
      <c r="S410" s="11">
        <f>AVERAGE(Q410:Q413)</f>
        <v>99</v>
      </c>
      <c r="T410" s="7">
        <f>AVERAGE(R410:R413)</f>
        <v>0</v>
      </c>
      <c r="U410" s="8">
        <f>(L410+L411+L412+L413+O410+O411+O412+O413)/(K410+K411+K412+K413)*100</f>
        <v>99</v>
      </c>
    </row>
    <row r="411" ht="13.5" customHeight="1" spans="1:19">
      <c r="A411" s="4" t="s">
        <v>60</v>
      </c>
      <c r="B411" s="3">
        <v>1330</v>
      </c>
      <c r="C411" s="3">
        <v>9133</v>
      </c>
      <c r="D411" s="3">
        <v>0.1</v>
      </c>
      <c r="E411" s="4" t="s">
        <v>22</v>
      </c>
      <c r="F411" s="4" t="s">
        <v>51</v>
      </c>
      <c r="G411" s="4" t="s">
        <v>51</v>
      </c>
      <c r="H411" s="4" t="s">
        <v>25</v>
      </c>
      <c r="I411" s="4" t="s">
        <v>26</v>
      </c>
      <c r="J411" s="3">
        <v>2</v>
      </c>
      <c r="K411" s="3">
        <v>25</v>
      </c>
      <c r="L411" s="3">
        <v>25</v>
      </c>
      <c r="M411" s="3">
        <v>0</v>
      </c>
      <c r="N411" s="3">
        <v>0</v>
      </c>
      <c r="O411" s="3">
        <v>0</v>
      </c>
      <c r="P411" s="3">
        <f t="shared" si="0"/>
        <v>0</v>
      </c>
      <c r="Q411" s="3">
        <f t="shared" si="1"/>
        <v>100</v>
      </c>
      <c r="R411" s="3">
        <f t="shared" si="2"/>
        <v>0</v>
      </c>
      <c r="S411" s="11"/>
    </row>
    <row r="412" ht="13.5" customHeight="1" spans="1:19">
      <c r="A412" s="4" t="s">
        <v>60</v>
      </c>
      <c r="B412" s="3">
        <v>1330</v>
      </c>
      <c r="C412" s="3">
        <v>9133</v>
      </c>
      <c r="D412" s="3">
        <v>0.1</v>
      </c>
      <c r="E412" s="4" t="s">
        <v>22</v>
      </c>
      <c r="F412" s="4" t="s">
        <v>51</v>
      </c>
      <c r="G412" s="4" t="s">
        <v>51</v>
      </c>
      <c r="H412" s="4" t="s">
        <v>25</v>
      </c>
      <c r="I412" s="4" t="s">
        <v>26</v>
      </c>
      <c r="J412" s="3">
        <v>3</v>
      </c>
      <c r="K412" s="3">
        <v>25</v>
      </c>
      <c r="L412" s="3">
        <v>25</v>
      </c>
      <c r="M412" s="3">
        <v>0</v>
      </c>
      <c r="N412" s="3">
        <v>0</v>
      </c>
      <c r="O412" s="3">
        <v>0</v>
      </c>
      <c r="P412" s="3">
        <f t="shared" si="0"/>
        <v>0</v>
      </c>
      <c r="Q412" s="3">
        <f t="shared" si="1"/>
        <v>100</v>
      </c>
      <c r="R412" s="3">
        <f t="shared" si="2"/>
        <v>0</v>
      </c>
      <c r="S412" s="11"/>
    </row>
    <row r="413" ht="13.5" customHeight="1" spans="1:19">
      <c r="A413" s="4" t="s">
        <v>60</v>
      </c>
      <c r="B413" s="3">
        <v>1330</v>
      </c>
      <c r="C413" s="3">
        <v>9133</v>
      </c>
      <c r="D413" s="3">
        <v>0.1</v>
      </c>
      <c r="E413" s="4" t="s">
        <v>22</v>
      </c>
      <c r="F413" s="4" t="s">
        <v>51</v>
      </c>
      <c r="G413" s="4" t="s">
        <v>51</v>
      </c>
      <c r="H413" s="4" t="s">
        <v>25</v>
      </c>
      <c r="I413" s="4" t="s">
        <v>26</v>
      </c>
      <c r="J413" s="3">
        <v>4</v>
      </c>
      <c r="K413" s="3">
        <v>25</v>
      </c>
      <c r="L413" s="3">
        <v>25</v>
      </c>
      <c r="M413" s="3">
        <v>0</v>
      </c>
      <c r="N413" s="3">
        <v>0</v>
      </c>
      <c r="O413" s="3">
        <v>0</v>
      </c>
      <c r="P413" s="3">
        <f t="shared" si="0"/>
        <v>0</v>
      </c>
      <c r="Q413" s="3">
        <f t="shared" si="1"/>
        <v>100</v>
      </c>
      <c r="R413" s="3">
        <f t="shared" si="2"/>
        <v>0</v>
      </c>
      <c r="S413" s="11"/>
    </row>
    <row r="414" ht="13.5" customHeight="1" spans="1:21">
      <c r="A414" s="4" t="s">
        <v>85</v>
      </c>
      <c r="B414" s="3">
        <v>1167</v>
      </c>
      <c r="C414" s="3">
        <v>7918</v>
      </c>
      <c r="D414" s="3">
        <v>0.1</v>
      </c>
      <c r="E414" s="4" t="s">
        <v>88</v>
      </c>
      <c r="F414" s="4" t="s">
        <v>114</v>
      </c>
      <c r="G414" s="4" t="s">
        <v>115</v>
      </c>
      <c r="H414" s="4" t="s">
        <v>25</v>
      </c>
      <c r="I414" s="4" t="s">
        <v>26</v>
      </c>
      <c r="J414" s="3">
        <v>1</v>
      </c>
      <c r="K414" s="3">
        <v>25</v>
      </c>
      <c r="L414" s="3">
        <v>2</v>
      </c>
      <c r="M414" s="3">
        <v>1</v>
      </c>
      <c r="N414" s="3">
        <v>7</v>
      </c>
      <c r="O414" s="3">
        <v>15</v>
      </c>
      <c r="P414" s="3">
        <f t="shared" si="0"/>
        <v>0</v>
      </c>
      <c r="Q414" s="3">
        <f t="shared" si="1"/>
        <v>11.1111111111111</v>
      </c>
      <c r="R414" s="3">
        <f t="shared" si="2"/>
        <v>83.3333333333333</v>
      </c>
      <c r="S414" s="11">
        <f>AVERAGE(Q414:Q417)</f>
        <v>9.43253968253968</v>
      </c>
      <c r="T414" s="7">
        <f>AVERAGE(R414:R417)</f>
        <v>88.1369047619048</v>
      </c>
      <c r="U414" s="8">
        <f>(L414+L415+L416+L417+O414+O415+O416+O417)/(K414+K415+K416+K417)*100</f>
        <v>79</v>
      </c>
    </row>
    <row r="415" ht="13.5" customHeight="1" spans="1:19">
      <c r="A415" s="4" t="s">
        <v>85</v>
      </c>
      <c r="B415" s="3">
        <v>1167</v>
      </c>
      <c r="C415" s="3">
        <v>7918</v>
      </c>
      <c r="D415" s="3">
        <v>0.1</v>
      </c>
      <c r="E415" s="4" t="s">
        <v>88</v>
      </c>
      <c r="F415" s="4" t="s">
        <v>114</v>
      </c>
      <c r="G415" s="4" t="s">
        <v>115</v>
      </c>
      <c r="H415" s="4" t="s">
        <v>25</v>
      </c>
      <c r="I415" s="4" t="s">
        <v>26</v>
      </c>
      <c r="J415" s="3">
        <v>2</v>
      </c>
      <c r="K415" s="3">
        <v>25</v>
      </c>
      <c r="L415" s="3">
        <v>1</v>
      </c>
      <c r="M415" s="3">
        <v>0</v>
      </c>
      <c r="N415" s="3">
        <v>0</v>
      </c>
      <c r="O415" s="3">
        <v>24</v>
      </c>
      <c r="P415" s="3">
        <f t="shared" si="0"/>
        <v>0</v>
      </c>
      <c r="Q415" s="3">
        <f t="shared" si="1"/>
        <v>4</v>
      </c>
      <c r="R415" s="3">
        <f t="shared" si="2"/>
        <v>96</v>
      </c>
      <c r="S415" s="11"/>
    </row>
    <row r="416" ht="13.5" customHeight="1" spans="1:19">
      <c r="A416" s="4" t="s">
        <v>85</v>
      </c>
      <c r="B416" s="3">
        <v>1167</v>
      </c>
      <c r="C416" s="3">
        <v>7918</v>
      </c>
      <c r="D416" s="3">
        <v>0.1</v>
      </c>
      <c r="E416" s="4" t="s">
        <v>88</v>
      </c>
      <c r="F416" s="4" t="s">
        <v>114</v>
      </c>
      <c r="G416" s="4" t="s">
        <v>115</v>
      </c>
      <c r="H416" s="4" t="s">
        <v>25</v>
      </c>
      <c r="I416" s="4" t="s">
        <v>26</v>
      </c>
      <c r="J416" s="3">
        <v>3</v>
      </c>
      <c r="K416" s="3">
        <v>25</v>
      </c>
      <c r="L416" s="3">
        <v>2</v>
      </c>
      <c r="M416" s="3">
        <v>1</v>
      </c>
      <c r="N416" s="3">
        <v>1</v>
      </c>
      <c r="O416" s="3">
        <v>21</v>
      </c>
      <c r="P416" s="3">
        <f t="shared" si="0"/>
        <v>0</v>
      </c>
      <c r="Q416" s="3">
        <f t="shared" si="1"/>
        <v>8.33333333333333</v>
      </c>
      <c r="R416" s="3">
        <f t="shared" si="2"/>
        <v>87.5</v>
      </c>
      <c r="S416" s="11"/>
    </row>
    <row r="417" ht="13.5" customHeight="1" spans="1:19">
      <c r="A417" s="4" t="s">
        <v>85</v>
      </c>
      <c r="B417" s="3">
        <v>1167</v>
      </c>
      <c r="C417" s="3">
        <v>7918</v>
      </c>
      <c r="D417" s="3">
        <v>0.1</v>
      </c>
      <c r="E417" s="4" t="s">
        <v>88</v>
      </c>
      <c r="F417" s="4" t="s">
        <v>114</v>
      </c>
      <c r="G417" s="4" t="s">
        <v>115</v>
      </c>
      <c r="H417" s="4" t="s">
        <v>25</v>
      </c>
      <c r="I417" s="4" t="s">
        <v>26</v>
      </c>
      <c r="J417" s="3">
        <v>4</v>
      </c>
      <c r="K417" s="3">
        <v>25</v>
      </c>
      <c r="L417" s="3">
        <v>2</v>
      </c>
      <c r="M417" s="3">
        <v>0</v>
      </c>
      <c r="N417" s="3">
        <v>11</v>
      </c>
      <c r="O417" s="3">
        <v>12</v>
      </c>
      <c r="P417" s="3">
        <f t="shared" si="0"/>
        <v>0</v>
      </c>
      <c r="Q417" s="3">
        <f t="shared" si="1"/>
        <v>14.2857142857143</v>
      </c>
      <c r="R417" s="3">
        <f t="shared" si="2"/>
        <v>85.7142857142857</v>
      </c>
      <c r="S417" s="11"/>
    </row>
    <row r="418" ht="13.5" customHeight="1" spans="1:21">
      <c r="A418" s="4" t="s">
        <v>32</v>
      </c>
      <c r="B418" s="3">
        <v>1342</v>
      </c>
      <c r="C418" s="3">
        <v>9074</v>
      </c>
      <c r="D418" s="3">
        <v>0.1</v>
      </c>
      <c r="E418" s="4" t="s">
        <v>48</v>
      </c>
      <c r="F418" s="4" t="s">
        <v>108</v>
      </c>
      <c r="G418" s="3" t="s">
        <v>138</v>
      </c>
      <c r="H418" s="4" t="s">
        <v>25</v>
      </c>
      <c r="I418" s="4" t="s">
        <v>26</v>
      </c>
      <c r="J418" s="3">
        <v>1</v>
      </c>
      <c r="K418" s="3">
        <v>25</v>
      </c>
      <c r="L418" s="3">
        <v>23</v>
      </c>
      <c r="M418" s="3">
        <v>0</v>
      </c>
      <c r="N418" s="3">
        <v>0</v>
      </c>
      <c r="O418" s="3">
        <v>2</v>
      </c>
      <c r="P418" s="3">
        <f t="shared" si="0"/>
        <v>0</v>
      </c>
      <c r="Q418" s="3">
        <f t="shared" si="1"/>
        <v>92</v>
      </c>
      <c r="R418" s="3">
        <f t="shared" si="2"/>
        <v>8</v>
      </c>
      <c r="S418" s="11">
        <f>AVERAGE(Q418:Q421)</f>
        <v>91</v>
      </c>
      <c r="T418" s="7">
        <f>AVERAGE(R418:R421)</f>
        <v>9</v>
      </c>
      <c r="U418" s="8">
        <f>(L418+L419+L420+L421+O418+O419+O420+O421)/(K418+K419+K420+K421)*100</f>
        <v>100</v>
      </c>
    </row>
    <row r="419" ht="13.5" customHeight="1" spans="1:19">
      <c r="A419" s="4" t="s">
        <v>32</v>
      </c>
      <c r="B419" s="3">
        <v>1342</v>
      </c>
      <c r="C419" s="3">
        <v>9074</v>
      </c>
      <c r="D419" s="3">
        <v>0.1</v>
      </c>
      <c r="E419" s="4" t="s">
        <v>48</v>
      </c>
      <c r="F419" s="4" t="s">
        <v>108</v>
      </c>
      <c r="G419" s="3" t="s">
        <v>138</v>
      </c>
      <c r="H419" s="4" t="s">
        <v>25</v>
      </c>
      <c r="I419" s="4" t="s">
        <v>26</v>
      </c>
      <c r="J419" s="3">
        <v>2</v>
      </c>
      <c r="K419" s="3">
        <v>25</v>
      </c>
      <c r="L419" s="3">
        <v>24</v>
      </c>
      <c r="M419" s="3">
        <v>0</v>
      </c>
      <c r="N419" s="3">
        <v>0</v>
      </c>
      <c r="O419" s="3">
        <v>1</v>
      </c>
      <c r="P419" s="3">
        <f t="shared" si="0"/>
        <v>0</v>
      </c>
      <c r="Q419" s="3">
        <f t="shared" si="1"/>
        <v>96</v>
      </c>
      <c r="R419" s="3">
        <f t="shared" si="2"/>
        <v>4</v>
      </c>
      <c r="S419" s="11"/>
    </row>
    <row r="420" ht="13.5" customHeight="1" spans="1:19">
      <c r="A420" s="4" t="s">
        <v>32</v>
      </c>
      <c r="B420" s="3">
        <v>1342</v>
      </c>
      <c r="C420" s="3">
        <v>9074</v>
      </c>
      <c r="D420" s="3">
        <v>0.1</v>
      </c>
      <c r="E420" s="4" t="s">
        <v>48</v>
      </c>
      <c r="F420" s="4" t="s">
        <v>108</v>
      </c>
      <c r="G420" s="3" t="s">
        <v>138</v>
      </c>
      <c r="H420" s="4" t="s">
        <v>25</v>
      </c>
      <c r="I420" s="4" t="s">
        <v>26</v>
      </c>
      <c r="J420" s="3">
        <v>3</v>
      </c>
      <c r="K420" s="3">
        <v>25</v>
      </c>
      <c r="L420" s="3">
        <v>21</v>
      </c>
      <c r="M420" s="3">
        <v>0</v>
      </c>
      <c r="N420" s="3">
        <v>0</v>
      </c>
      <c r="O420" s="3">
        <v>4</v>
      </c>
      <c r="P420" s="3">
        <f t="shared" si="0"/>
        <v>0</v>
      </c>
      <c r="Q420" s="3">
        <f t="shared" si="1"/>
        <v>84</v>
      </c>
      <c r="R420" s="3">
        <f t="shared" si="2"/>
        <v>16</v>
      </c>
      <c r="S420" s="11"/>
    </row>
    <row r="421" ht="13.5" customHeight="1" spans="1:19">
      <c r="A421" s="4" t="s">
        <v>32</v>
      </c>
      <c r="B421" s="3">
        <v>1342</v>
      </c>
      <c r="C421" s="3">
        <v>9074</v>
      </c>
      <c r="D421" s="3">
        <v>0.1</v>
      </c>
      <c r="E421" s="4" t="s">
        <v>48</v>
      </c>
      <c r="F421" s="4" t="s">
        <v>108</v>
      </c>
      <c r="G421" s="3" t="s">
        <v>138</v>
      </c>
      <c r="H421" s="4" t="s">
        <v>25</v>
      </c>
      <c r="I421" s="4" t="s">
        <v>26</v>
      </c>
      <c r="J421" s="3">
        <v>4</v>
      </c>
      <c r="K421" s="3">
        <v>25</v>
      </c>
      <c r="L421" s="3">
        <v>23</v>
      </c>
      <c r="M421" s="3">
        <v>0</v>
      </c>
      <c r="N421" s="3">
        <v>0</v>
      </c>
      <c r="O421" s="3">
        <v>2</v>
      </c>
      <c r="P421" s="3">
        <f t="shared" si="0"/>
        <v>0</v>
      </c>
      <c r="Q421" s="3">
        <f t="shared" si="1"/>
        <v>92</v>
      </c>
      <c r="R421" s="3">
        <f t="shared" si="2"/>
        <v>8</v>
      </c>
      <c r="S421" s="11"/>
    </row>
    <row r="422" ht="13.5" customHeight="1" spans="1:21">
      <c r="A422" s="4" t="s">
        <v>47</v>
      </c>
      <c r="B422" s="3">
        <v>1504</v>
      </c>
      <c r="C422" s="3">
        <v>9859</v>
      </c>
      <c r="D422" s="3">
        <v>0.1</v>
      </c>
      <c r="E422" s="4" t="s">
        <v>48</v>
      </c>
      <c r="F422" s="4" t="s">
        <v>139</v>
      </c>
      <c r="G422" s="3" t="s">
        <v>140</v>
      </c>
      <c r="H422" s="4" t="s">
        <v>25</v>
      </c>
      <c r="I422" s="4" t="s">
        <v>26</v>
      </c>
      <c r="J422" s="3">
        <v>1</v>
      </c>
      <c r="K422" s="3">
        <v>25</v>
      </c>
      <c r="L422" s="3">
        <v>4</v>
      </c>
      <c r="M422" s="3">
        <v>0</v>
      </c>
      <c r="N422" s="3">
        <v>21</v>
      </c>
      <c r="O422" s="3">
        <v>0</v>
      </c>
      <c r="P422" s="3">
        <f t="shared" si="0"/>
        <v>0</v>
      </c>
      <c r="Q422" s="3">
        <f t="shared" si="1"/>
        <v>100</v>
      </c>
      <c r="R422" s="3">
        <f t="shared" si="2"/>
        <v>0</v>
      </c>
      <c r="S422" s="11">
        <f>AVERAGE(Q422:Q425)</f>
        <v>100</v>
      </c>
      <c r="T422" s="7">
        <f>AVERAGE(R422:R425)</f>
        <v>0</v>
      </c>
      <c r="U422" s="8">
        <f>(L422+L423+L424+L425+O422+O423+O424+O425)/(K422+K423+K424+K425)*100</f>
        <v>18</v>
      </c>
    </row>
    <row r="423" ht="13.5" customHeight="1" spans="1:19">
      <c r="A423" s="4" t="s">
        <v>47</v>
      </c>
      <c r="B423" s="3">
        <v>1504</v>
      </c>
      <c r="C423" s="3">
        <v>9859</v>
      </c>
      <c r="D423" s="3">
        <v>0.1</v>
      </c>
      <c r="E423" s="4" t="s">
        <v>48</v>
      </c>
      <c r="F423" s="4" t="s">
        <v>139</v>
      </c>
      <c r="G423" s="3" t="s">
        <v>140</v>
      </c>
      <c r="H423" s="4" t="s">
        <v>25</v>
      </c>
      <c r="I423" s="4" t="s">
        <v>26</v>
      </c>
      <c r="J423" s="3">
        <v>2</v>
      </c>
      <c r="K423" s="3">
        <v>25</v>
      </c>
      <c r="L423" s="3">
        <v>4</v>
      </c>
      <c r="M423" s="3">
        <v>0</v>
      </c>
      <c r="N423" s="3">
        <v>21</v>
      </c>
      <c r="O423" s="3">
        <v>0</v>
      </c>
      <c r="P423" s="3">
        <f t="shared" si="0"/>
        <v>0</v>
      </c>
      <c r="Q423" s="3">
        <f t="shared" si="1"/>
        <v>100</v>
      </c>
      <c r="R423" s="3">
        <f t="shared" si="2"/>
        <v>0</v>
      </c>
      <c r="S423" s="11"/>
    </row>
    <row r="424" ht="13.5" customHeight="1" spans="1:19">
      <c r="A424" s="4" t="s">
        <v>47</v>
      </c>
      <c r="B424" s="3">
        <v>1504</v>
      </c>
      <c r="C424" s="3">
        <v>9859</v>
      </c>
      <c r="D424" s="3">
        <v>0.1</v>
      </c>
      <c r="E424" s="4" t="s">
        <v>48</v>
      </c>
      <c r="F424" s="4" t="s">
        <v>139</v>
      </c>
      <c r="G424" s="3" t="s">
        <v>140</v>
      </c>
      <c r="H424" s="4" t="s">
        <v>25</v>
      </c>
      <c r="I424" s="4" t="s">
        <v>26</v>
      </c>
      <c r="J424" s="3">
        <v>3</v>
      </c>
      <c r="K424" s="3">
        <v>25</v>
      </c>
      <c r="L424" s="3">
        <v>6</v>
      </c>
      <c r="M424" s="3">
        <v>0</v>
      </c>
      <c r="N424" s="3">
        <v>19</v>
      </c>
      <c r="O424" s="3">
        <v>0</v>
      </c>
      <c r="P424" s="3">
        <f t="shared" si="0"/>
        <v>0</v>
      </c>
      <c r="Q424" s="3">
        <f t="shared" si="1"/>
        <v>100</v>
      </c>
      <c r="R424" s="3">
        <f t="shared" si="2"/>
        <v>0</v>
      </c>
      <c r="S424" s="11"/>
    </row>
    <row r="425" ht="13.5" customHeight="1" spans="1:19">
      <c r="A425" s="4" t="s">
        <v>47</v>
      </c>
      <c r="B425" s="3">
        <v>1504</v>
      </c>
      <c r="C425" s="3">
        <v>9859</v>
      </c>
      <c r="D425" s="3">
        <v>0.1</v>
      </c>
      <c r="E425" s="4" t="s">
        <v>48</v>
      </c>
      <c r="F425" s="4" t="s">
        <v>139</v>
      </c>
      <c r="G425" s="3" t="s">
        <v>140</v>
      </c>
      <c r="H425" s="4" t="s">
        <v>25</v>
      </c>
      <c r="I425" s="4" t="s">
        <v>26</v>
      </c>
      <c r="J425" s="3">
        <v>4</v>
      </c>
      <c r="K425" s="3">
        <v>25</v>
      </c>
      <c r="L425" s="3">
        <v>4</v>
      </c>
      <c r="M425" s="3">
        <v>0</v>
      </c>
      <c r="N425" s="3">
        <v>21</v>
      </c>
      <c r="O425" s="3">
        <v>0</v>
      </c>
      <c r="P425" s="3">
        <f t="shared" si="0"/>
        <v>0</v>
      </c>
      <c r="Q425" s="3">
        <f t="shared" si="1"/>
        <v>100</v>
      </c>
      <c r="R425" s="3">
        <f t="shared" si="2"/>
        <v>0</v>
      </c>
      <c r="S425" s="11"/>
    </row>
    <row r="426" ht="13.5" customHeight="1" spans="1:21">
      <c r="A426" s="4" t="s">
        <v>60</v>
      </c>
      <c r="B426" s="3">
        <v>1330</v>
      </c>
      <c r="C426" s="3">
        <v>9133</v>
      </c>
      <c r="D426" s="3">
        <v>0.1</v>
      </c>
      <c r="E426" s="4" t="s">
        <v>33</v>
      </c>
      <c r="F426" s="4" t="s">
        <v>123</v>
      </c>
      <c r="G426" s="4" t="s">
        <v>124</v>
      </c>
      <c r="H426" s="4" t="s">
        <v>40</v>
      </c>
      <c r="I426" s="4" t="s">
        <v>26</v>
      </c>
      <c r="J426" s="3">
        <v>1</v>
      </c>
      <c r="K426" s="3">
        <v>25</v>
      </c>
      <c r="L426" s="3">
        <v>14</v>
      </c>
      <c r="M426" s="3">
        <v>0</v>
      </c>
      <c r="N426" s="3">
        <v>4</v>
      </c>
      <c r="O426" s="3">
        <v>7</v>
      </c>
      <c r="P426" s="3">
        <f t="shared" si="0"/>
        <v>0</v>
      </c>
      <c r="Q426" s="3">
        <f t="shared" si="1"/>
        <v>66.6666666666667</v>
      </c>
      <c r="R426" s="3">
        <f t="shared" si="2"/>
        <v>33.3333333333333</v>
      </c>
      <c r="S426" s="11">
        <f>AVERAGE(Q426:Q429)</f>
        <v>71.1266803372067</v>
      </c>
      <c r="T426" s="7">
        <f>AVERAGE(R426:R429)</f>
        <v>28.8733196627933</v>
      </c>
      <c r="U426" s="8">
        <f>(L426+L427+L428+L429+O426+O427+O428+O429)/(K426+K427+K428+K429)*100</f>
        <v>83</v>
      </c>
    </row>
    <row r="427" ht="13.5" customHeight="1" spans="1:19">
      <c r="A427" s="4" t="s">
        <v>60</v>
      </c>
      <c r="B427" s="3">
        <v>1330</v>
      </c>
      <c r="C427" s="3">
        <v>9133</v>
      </c>
      <c r="D427" s="3">
        <v>0.1</v>
      </c>
      <c r="E427" s="4" t="s">
        <v>33</v>
      </c>
      <c r="F427" s="4" t="s">
        <v>123</v>
      </c>
      <c r="G427" s="4" t="s">
        <v>124</v>
      </c>
      <c r="H427" s="4" t="s">
        <v>40</v>
      </c>
      <c r="I427" s="4" t="s">
        <v>26</v>
      </c>
      <c r="J427" s="3">
        <v>2</v>
      </c>
      <c r="K427" s="3">
        <v>25</v>
      </c>
      <c r="L427" s="3">
        <v>14</v>
      </c>
      <c r="M427" s="3">
        <v>0</v>
      </c>
      <c r="N427" s="3">
        <v>6</v>
      </c>
      <c r="O427" s="3">
        <v>5</v>
      </c>
      <c r="P427" s="3">
        <f t="shared" si="0"/>
        <v>0</v>
      </c>
      <c r="Q427" s="3">
        <f t="shared" si="1"/>
        <v>73.6842105263158</v>
      </c>
      <c r="R427" s="3">
        <f t="shared" si="2"/>
        <v>26.3157894736842</v>
      </c>
      <c r="S427" s="11"/>
    </row>
    <row r="428" ht="13.5" customHeight="1" spans="1:19">
      <c r="A428" s="4" t="s">
        <v>60</v>
      </c>
      <c r="B428" s="3">
        <v>1330</v>
      </c>
      <c r="C428" s="3">
        <v>9133</v>
      </c>
      <c r="D428" s="3">
        <v>0.1</v>
      </c>
      <c r="E428" s="4" t="s">
        <v>33</v>
      </c>
      <c r="F428" s="4" t="s">
        <v>123</v>
      </c>
      <c r="G428" s="4" t="s">
        <v>124</v>
      </c>
      <c r="H428" s="4" t="s">
        <v>40</v>
      </c>
      <c r="I428" s="4" t="s">
        <v>26</v>
      </c>
      <c r="J428" s="3">
        <v>3</v>
      </c>
      <c r="K428" s="3">
        <v>25</v>
      </c>
      <c r="L428" s="3">
        <v>16</v>
      </c>
      <c r="M428" s="3">
        <v>0</v>
      </c>
      <c r="N428" s="3">
        <v>3</v>
      </c>
      <c r="O428" s="3">
        <v>6</v>
      </c>
      <c r="P428" s="3">
        <f t="shared" si="0"/>
        <v>0</v>
      </c>
      <c r="Q428" s="3">
        <f t="shared" si="1"/>
        <v>72.7272727272727</v>
      </c>
      <c r="R428" s="3">
        <f t="shared" si="2"/>
        <v>27.2727272727273</v>
      </c>
      <c r="S428" s="11"/>
    </row>
    <row r="429" ht="13.5" customHeight="1" spans="1:19">
      <c r="A429" s="4" t="s">
        <v>60</v>
      </c>
      <c r="B429" s="3">
        <v>1330</v>
      </c>
      <c r="C429" s="3">
        <v>9133</v>
      </c>
      <c r="D429" s="3">
        <v>0.1</v>
      </c>
      <c r="E429" s="4" t="s">
        <v>33</v>
      </c>
      <c r="F429" s="4" t="s">
        <v>123</v>
      </c>
      <c r="G429" s="4" t="s">
        <v>124</v>
      </c>
      <c r="H429" s="4" t="s">
        <v>40</v>
      </c>
      <c r="I429" s="4" t="s">
        <v>26</v>
      </c>
      <c r="J429" s="3">
        <v>4</v>
      </c>
      <c r="K429" s="3">
        <v>25</v>
      </c>
      <c r="L429" s="3">
        <v>15</v>
      </c>
      <c r="M429" s="3">
        <v>0</v>
      </c>
      <c r="N429" s="3">
        <v>4</v>
      </c>
      <c r="O429" s="3">
        <v>6</v>
      </c>
      <c r="P429" s="3">
        <f t="shared" si="0"/>
        <v>0</v>
      </c>
      <c r="Q429" s="3">
        <f t="shared" si="1"/>
        <v>71.4285714285714</v>
      </c>
      <c r="R429" s="3">
        <f t="shared" si="2"/>
        <v>28.5714285714286</v>
      </c>
      <c r="S429" s="11"/>
    </row>
    <row r="430" ht="13.5" customHeight="1" spans="1:21">
      <c r="A430" s="4" t="s">
        <v>21</v>
      </c>
      <c r="B430" s="3">
        <v>1236</v>
      </c>
      <c r="C430" s="3">
        <v>8460</v>
      </c>
      <c r="D430" s="3">
        <v>0.1</v>
      </c>
      <c r="E430" s="4" t="s">
        <v>33</v>
      </c>
      <c r="F430" s="4" t="s">
        <v>123</v>
      </c>
      <c r="G430" s="4" t="s">
        <v>124</v>
      </c>
      <c r="H430" s="4" t="s">
        <v>40</v>
      </c>
      <c r="I430" s="4" t="s">
        <v>26</v>
      </c>
      <c r="J430" s="3">
        <v>1</v>
      </c>
      <c r="K430" s="3">
        <v>25</v>
      </c>
      <c r="L430" s="3">
        <v>8</v>
      </c>
      <c r="M430" s="3">
        <v>2</v>
      </c>
      <c r="N430" s="3">
        <v>2</v>
      </c>
      <c r="O430" s="3">
        <v>13</v>
      </c>
      <c r="P430" s="3">
        <f t="shared" si="0"/>
        <v>0</v>
      </c>
      <c r="Q430" s="3">
        <f t="shared" si="1"/>
        <v>34.7826086956522</v>
      </c>
      <c r="R430" s="3">
        <f t="shared" si="2"/>
        <v>56.5217391304348</v>
      </c>
      <c r="S430" s="11">
        <f>AVERAGE(Q430:Q433)</f>
        <v>41.1221227621483</v>
      </c>
      <c r="T430" s="7">
        <f>AVERAGE(R430:R433)</f>
        <v>47.9539641943734</v>
      </c>
      <c r="U430" s="8">
        <f>(L430+L431+L432+L433+O430+O431+O432+O433)/(K430+K431+K432+K433)*100</f>
        <v>71</v>
      </c>
    </row>
    <row r="431" ht="13.5" customHeight="1" spans="1:19">
      <c r="A431" s="4" t="s">
        <v>21</v>
      </c>
      <c r="B431" s="3">
        <v>1236</v>
      </c>
      <c r="C431" s="3">
        <v>8460</v>
      </c>
      <c r="D431" s="3">
        <v>0.1</v>
      </c>
      <c r="E431" s="4" t="s">
        <v>33</v>
      </c>
      <c r="F431" s="4" t="s">
        <v>123</v>
      </c>
      <c r="G431" s="4" t="s">
        <v>124</v>
      </c>
      <c r="H431" s="4" t="s">
        <v>40</v>
      </c>
      <c r="I431" s="4" t="s">
        <v>26</v>
      </c>
      <c r="J431" s="3">
        <v>2</v>
      </c>
      <c r="K431" s="3">
        <v>25</v>
      </c>
      <c r="L431" s="3">
        <v>8</v>
      </c>
      <c r="M431" s="3">
        <v>3</v>
      </c>
      <c r="N431" s="3">
        <v>5</v>
      </c>
      <c r="O431" s="3">
        <v>9</v>
      </c>
      <c r="P431" s="3">
        <f t="shared" si="0"/>
        <v>0</v>
      </c>
      <c r="Q431" s="3">
        <f t="shared" si="1"/>
        <v>40</v>
      </c>
      <c r="R431" s="3">
        <f t="shared" si="2"/>
        <v>45</v>
      </c>
      <c r="S431" s="11"/>
    </row>
    <row r="432" ht="13.5" customHeight="1" spans="1:19">
      <c r="A432" s="4" t="s">
        <v>21</v>
      </c>
      <c r="B432" s="3">
        <v>1236</v>
      </c>
      <c r="C432" s="3">
        <v>8460</v>
      </c>
      <c r="D432" s="3">
        <v>0.1</v>
      </c>
      <c r="E432" s="4" t="s">
        <v>33</v>
      </c>
      <c r="F432" s="4" t="s">
        <v>123</v>
      </c>
      <c r="G432" s="4" t="s">
        <v>124</v>
      </c>
      <c r="H432" s="4" t="s">
        <v>40</v>
      </c>
      <c r="I432" s="4" t="s">
        <v>26</v>
      </c>
      <c r="J432" s="3">
        <v>3</v>
      </c>
      <c r="K432" s="3">
        <v>25</v>
      </c>
      <c r="L432" s="3">
        <v>5</v>
      </c>
      <c r="M432" s="3">
        <v>4</v>
      </c>
      <c r="N432" s="3">
        <v>5</v>
      </c>
      <c r="O432" s="3">
        <v>11</v>
      </c>
      <c r="P432" s="3">
        <f t="shared" si="0"/>
        <v>0</v>
      </c>
      <c r="Q432" s="3">
        <f t="shared" si="1"/>
        <v>25</v>
      </c>
      <c r="R432" s="3">
        <f t="shared" si="2"/>
        <v>55</v>
      </c>
      <c r="S432" s="11"/>
    </row>
    <row r="433" ht="13.5" customHeight="1" spans="1:19">
      <c r="A433" s="4" t="s">
        <v>21</v>
      </c>
      <c r="B433" s="3">
        <v>1236</v>
      </c>
      <c r="C433" s="3">
        <v>8460</v>
      </c>
      <c r="D433" s="3">
        <v>0.1</v>
      </c>
      <c r="E433" s="4" t="s">
        <v>33</v>
      </c>
      <c r="F433" s="4" t="s">
        <v>123</v>
      </c>
      <c r="G433" s="4" t="s">
        <v>124</v>
      </c>
      <c r="H433" s="4" t="s">
        <v>40</v>
      </c>
      <c r="I433" s="4" t="s">
        <v>26</v>
      </c>
      <c r="J433" s="3">
        <v>4</v>
      </c>
      <c r="K433" s="3">
        <v>25</v>
      </c>
      <c r="L433" s="3">
        <v>11</v>
      </c>
      <c r="M433" s="3">
        <v>0</v>
      </c>
      <c r="N433" s="3">
        <v>8</v>
      </c>
      <c r="O433" s="3">
        <v>6</v>
      </c>
      <c r="P433" s="3">
        <f t="shared" si="0"/>
        <v>0</v>
      </c>
      <c r="Q433" s="3">
        <f t="shared" si="1"/>
        <v>64.7058823529412</v>
      </c>
      <c r="R433" s="3">
        <f t="shared" si="2"/>
        <v>35.2941176470588</v>
      </c>
      <c r="S433" s="11"/>
    </row>
    <row r="434" ht="13.5" customHeight="1" spans="1:21">
      <c r="A434" s="4" t="s">
        <v>21</v>
      </c>
      <c r="B434" s="3">
        <v>1236</v>
      </c>
      <c r="C434" s="3">
        <v>8460</v>
      </c>
      <c r="D434" s="3">
        <v>1</v>
      </c>
      <c r="E434" s="4" t="s">
        <v>22</v>
      </c>
      <c r="F434" s="4" t="s">
        <v>106</v>
      </c>
      <c r="G434" s="4" t="s">
        <v>107</v>
      </c>
      <c r="H434" s="4" t="s">
        <v>25</v>
      </c>
      <c r="I434" s="4" t="s">
        <v>26</v>
      </c>
      <c r="J434" s="3">
        <v>1</v>
      </c>
      <c r="K434" s="3">
        <v>25</v>
      </c>
      <c r="L434" s="3">
        <v>24</v>
      </c>
      <c r="M434" s="3">
        <v>0</v>
      </c>
      <c r="N434" s="3">
        <v>1</v>
      </c>
      <c r="O434" s="3">
        <v>0</v>
      </c>
      <c r="P434" s="3">
        <f t="shared" si="0"/>
        <v>0</v>
      </c>
      <c r="Q434" s="3">
        <f t="shared" si="1"/>
        <v>100</v>
      </c>
      <c r="R434" s="3">
        <f t="shared" si="2"/>
        <v>0</v>
      </c>
      <c r="S434" s="11">
        <f>AVERAGE(Q434:Q437)</f>
        <v>100</v>
      </c>
      <c r="T434" s="7">
        <f>AVERAGE(R434:R437)</f>
        <v>0</v>
      </c>
      <c r="U434" s="8">
        <f>(L434+L435+L436+L437+O434+O435+O436+O437)/(K434+K435+K436+K437)*100</f>
        <v>99</v>
      </c>
    </row>
    <row r="435" ht="13.5" customHeight="1" spans="1:19">
      <c r="A435" s="4" t="s">
        <v>21</v>
      </c>
      <c r="B435" s="3">
        <v>1236</v>
      </c>
      <c r="C435" s="3">
        <v>8460</v>
      </c>
      <c r="D435" s="3">
        <v>1</v>
      </c>
      <c r="E435" s="4" t="s">
        <v>22</v>
      </c>
      <c r="F435" s="4" t="s">
        <v>106</v>
      </c>
      <c r="G435" s="4" t="s">
        <v>107</v>
      </c>
      <c r="H435" s="4" t="s">
        <v>25</v>
      </c>
      <c r="I435" s="4" t="s">
        <v>26</v>
      </c>
      <c r="J435" s="3">
        <v>2</v>
      </c>
      <c r="K435" s="3">
        <v>25</v>
      </c>
      <c r="L435" s="3">
        <v>25</v>
      </c>
      <c r="M435" s="3">
        <v>0</v>
      </c>
      <c r="N435" s="3">
        <v>0</v>
      </c>
      <c r="O435" s="3">
        <v>0</v>
      </c>
      <c r="P435" s="3">
        <f t="shared" si="0"/>
        <v>0</v>
      </c>
      <c r="Q435" s="3">
        <f t="shared" si="1"/>
        <v>100</v>
      </c>
      <c r="R435" s="3">
        <f t="shared" si="2"/>
        <v>0</v>
      </c>
      <c r="S435" s="11"/>
    </row>
    <row r="436" ht="13.5" customHeight="1" spans="1:19">
      <c r="A436" s="4" t="s">
        <v>21</v>
      </c>
      <c r="B436" s="3">
        <v>1236</v>
      </c>
      <c r="C436" s="3">
        <v>8460</v>
      </c>
      <c r="D436" s="3">
        <v>1</v>
      </c>
      <c r="E436" s="4" t="s">
        <v>22</v>
      </c>
      <c r="F436" s="4" t="s">
        <v>106</v>
      </c>
      <c r="G436" s="4" t="s">
        <v>107</v>
      </c>
      <c r="H436" s="4" t="s">
        <v>25</v>
      </c>
      <c r="I436" s="4" t="s">
        <v>26</v>
      </c>
      <c r="J436" s="3">
        <v>3</v>
      </c>
      <c r="K436" s="3">
        <v>25</v>
      </c>
      <c r="L436" s="3">
        <v>25</v>
      </c>
      <c r="M436" s="3">
        <v>0</v>
      </c>
      <c r="N436" s="3">
        <v>0</v>
      </c>
      <c r="O436" s="3">
        <v>0</v>
      </c>
      <c r="P436" s="3">
        <f t="shared" si="0"/>
        <v>0</v>
      </c>
      <c r="Q436" s="3">
        <f t="shared" si="1"/>
        <v>100</v>
      </c>
      <c r="R436" s="3">
        <f t="shared" si="2"/>
        <v>0</v>
      </c>
      <c r="S436" s="11"/>
    </row>
    <row r="437" ht="13.5" customHeight="1" spans="1:19">
      <c r="A437" s="4" t="s">
        <v>21</v>
      </c>
      <c r="B437" s="3">
        <v>1236</v>
      </c>
      <c r="C437" s="3">
        <v>8460</v>
      </c>
      <c r="D437" s="3">
        <v>1</v>
      </c>
      <c r="E437" s="4" t="s">
        <v>22</v>
      </c>
      <c r="F437" s="4" t="s">
        <v>106</v>
      </c>
      <c r="G437" s="4" t="s">
        <v>107</v>
      </c>
      <c r="H437" s="4" t="s">
        <v>25</v>
      </c>
      <c r="I437" s="4" t="s">
        <v>26</v>
      </c>
      <c r="J437" s="3">
        <v>4</v>
      </c>
      <c r="K437" s="3">
        <v>25</v>
      </c>
      <c r="L437" s="3">
        <v>25</v>
      </c>
      <c r="M437" s="3">
        <v>0</v>
      </c>
      <c r="N437" s="3">
        <v>0</v>
      </c>
      <c r="O437" s="3">
        <v>0</v>
      </c>
      <c r="P437" s="3">
        <f t="shared" si="0"/>
        <v>0</v>
      </c>
      <c r="Q437" s="3">
        <f t="shared" si="1"/>
        <v>100</v>
      </c>
      <c r="R437" s="3">
        <f t="shared" si="2"/>
        <v>0</v>
      </c>
      <c r="S437" s="11"/>
    </row>
    <row r="438" ht="13.5" customHeight="1" spans="1:21">
      <c r="A438" s="4" t="s">
        <v>77</v>
      </c>
      <c r="B438" s="3">
        <v>1746</v>
      </c>
      <c r="C438" s="3">
        <v>10331</v>
      </c>
      <c r="D438" s="3">
        <v>0.1</v>
      </c>
      <c r="E438" s="4" t="s">
        <v>48</v>
      </c>
      <c r="F438" s="4" t="s">
        <v>108</v>
      </c>
      <c r="G438" s="4" t="s">
        <v>141</v>
      </c>
      <c r="H438" s="4" t="s">
        <v>40</v>
      </c>
      <c r="I438" s="4" t="s">
        <v>26</v>
      </c>
      <c r="J438" s="3">
        <v>1</v>
      </c>
      <c r="K438" s="3">
        <v>25</v>
      </c>
      <c r="L438" s="3">
        <v>15</v>
      </c>
      <c r="M438" s="3">
        <v>1</v>
      </c>
      <c r="N438" s="3">
        <v>3</v>
      </c>
      <c r="O438" s="3">
        <v>6</v>
      </c>
      <c r="P438" s="3">
        <f t="shared" si="0"/>
        <v>0</v>
      </c>
      <c r="Q438" s="3">
        <f t="shared" si="1"/>
        <v>68.1818181818182</v>
      </c>
      <c r="R438" s="3">
        <f t="shared" si="2"/>
        <v>27.2727272727273</v>
      </c>
      <c r="S438" s="11">
        <f>AVERAGE(Q438:Q441)</f>
        <v>78.7751196172249</v>
      </c>
      <c r="T438" s="7">
        <f>AVERAGE(R438:R441)</f>
        <v>19.0885167464115</v>
      </c>
      <c r="U438" s="8">
        <f>(L438+L439+L440+L441+O438+O439+O440+O441)/(K438+K439+K440+K441)*100</f>
        <v>86</v>
      </c>
    </row>
    <row r="439" ht="13.5" customHeight="1" spans="1:19">
      <c r="A439" s="4" t="s">
        <v>77</v>
      </c>
      <c r="B439" s="3">
        <v>1746</v>
      </c>
      <c r="C439" s="3">
        <v>10331</v>
      </c>
      <c r="D439" s="3">
        <v>0.1</v>
      </c>
      <c r="E439" s="4" t="s">
        <v>48</v>
      </c>
      <c r="F439" s="4" t="s">
        <v>108</v>
      </c>
      <c r="G439" s="4" t="s">
        <v>141</v>
      </c>
      <c r="H439" s="4" t="s">
        <v>40</v>
      </c>
      <c r="I439" s="4" t="s">
        <v>26</v>
      </c>
      <c r="J439" s="3">
        <v>2</v>
      </c>
      <c r="K439" s="3">
        <v>25</v>
      </c>
      <c r="L439" s="3">
        <v>18</v>
      </c>
      <c r="M439" s="3">
        <v>0</v>
      </c>
      <c r="N439" s="3">
        <v>6</v>
      </c>
      <c r="O439" s="3">
        <v>1</v>
      </c>
      <c r="P439" s="3">
        <f t="shared" si="0"/>
        <v>0</v>
      </c>
      <c r="Q439" s="3">
        <f t="shared" si="1"/>
        <v>94.7368421052632</v>
      </c>
      <c r="R439" s="3">
        <f t="shared" si="2"/>
        <v>5.26315789473684</v>
      </c>
      <c r="S439" s="11"/>
    </row>
    <row r="440" ht="13.5" customHeight="1" spans="1:19">
      <c r="A440" s="4" t="s">
        <v>77</v>
      </c>
      <c r="B440" s="3">
        <v>1746</v>
      </c>
      <c r="C440" s="3">
        <v>10331</v>
      </c>
      <c r="D440" s="3">
        <v>0.1</v>
      </c>
      <c r="E440" s="4" t="s">
        <v>48</v>
      </c>
      <c r="F440" s="4" t="s">
        <v>108</v>
      </c>
      <c r="G440" s="4" t="s">
        <v>141</v>
      </c>
      <c r="H440" s="4" t="s">
        <v>40</v>
      </c>
      <c r="I440" s="4" t="s">
        <v>26</v>
      </c>
      <c r="J440" s="3">
        <v>3</v>
      </c>
      <c r="K440" s="3">
        <v>25</v>
      </c>
      <c r="L440" s="3">
        <v>15</v>
      </c>
      <c r="M440" s="3">
        <v>0</v>
      </c>
      <c r="N440" s="3">
        <v>3</v>
      </c>
      <c r="O440" s="3">
        <v>7</v>
      </c>
      <c r="P440" s="3">
        <f t="shared" si="0"/>
        <v>0</v>
      </c>
      <c r="Q440" s="3">
        <f t="shared" si="1"/>
        <v>68.1818181818182</v>
      </c>
      <c r="R440" s="3">
        <f t="shared" si="2"/>
        <v>31.8181818181818</v>
      </c>
      <c r="S440" s="11"/>
    </row>
    <row r="441" ht="13.5" customHeight="1" spans="1:19">
      <c r="A441" s="4" t="s">
        <v>77</v>
      </c>
      <c r="B441" s="3">
        <v>1746</v>
      </c>
      <c r="C441" s="3">
        <v>10331</v>
      </c>
      <c r="D441" s="3">
        <v>0.1</v>
      </c>
      <c r="E441" s="4" t="s">
        <v>48</v>
      </c>
      <c r="F441" s="4" t="s">
        <v>108</v>
      </c>
      <c r="G441" s="4" t="s">
        <v>141</v>
      </c>
      <c r="H441" s="4" t="s">
        <v>40</v>
      </c>
      <c r="I441" s="4" t="s">
        <v>26</v>
      </c>
      <c r="J441" s="3">
        <v>4</v>
      </c>
      <c r="K441" s="3">
        <v>25</v>
      </c>
      <c r="L441" s="3">
        <v>21</v>
      </c>
      <c r="M441" s="3">
        <v>1</v>
      </c>
      <c r="N441" s="3">
        <v>0</v>
      </c>
      <c r="O441" s="3">
        <v>3</v>
      </c>
      <c r="P441" s="3">
        <f t="shared" si="0"/>
        <v>0</v>
      </c>
      <c r="Q441" s="3">
        <f t="shared" si="1"/>
        <v>84</v>
      </c>
      <c r="R441" s="3">
        <f t="shared" si="2"/>
        <v>12</v>
      </c>
      <c r="S441" s="11"/>
    </row>
    <row r="442" ht="13.5" customHeight="1" spans="1:21">
      <c r="A442" s="4" t="s">
        <v>46</v>
      </c>
      <c r="B442" s="3">
        <v>1270</v>
      </c>
      <c r="C442" s="3">
        <v>8757</v>
      </c>
      <c r="D442" s="3">
        <v>0.1</v>
      </c>
      <c r="E442" s="4" t="s">
        <v>33</v>
      </c>
      <c r="F442" s="4" t="s">
        <v>123</v>
      </c>
      <c r="G442" s="4" t="s">
        <v>124</v>
      </c>
      <c r="H442" s="4" t="s">
        <v>40</v>
      </c>
      <c r="I442" s="4" t="s">
        <v>26</v>
      </c>
      <c r="J442" s="3">
        <v>1</v>
      </c>
      <c r="K442" s="3">
        <v>25</v>
      </c>
      <c r="L442" s="3">
        <v>8</v>
      </c>
      <c r="M442" s="3">
        <v>14</v>
      </c>
      <c r="N442" s="3">
        <v>0</v>
      </c>
      <c r="O442" s="3">
        <v>3</v>
      </c>
      <c r="P442" s="3">
        <f t="shared" si="0"/>
        <v>0</v>
      </c>
      <c r="Q442" s="3">
        <f t="shared" si="1"/>
        <v>32</v>
      </c>
      <c r="R442" s="3">
        <f t="shared" si="2"/>
        <v>12</v>
      </c>
      <c r="S442" s="11">
        <f>AVERAGE(Q442:Q445)</f>
        <v>44.453823953824</v>
      </c>
      <c r="T442" s="7">
        <f>AVERAGE(R442:R445)</f>
        <v>16.6724386724387</v>
      </c>
      <c r="U442" s="8">
        <f>(L442+L443+L444+L445+O442+O443+O444+O445)/(K442+K443+K444+K445)*100</f>
        <v>33</v>
      </c>
    </row>
    <row r="443" ht="13.5" customHeight="1" spans="1:19">
      <c r="A443" s="4" t="s">
        <v>46</v>
      </c>
      <c r="B443" s="3">
        <v>1270</v>
      </c>
      <c r="C443" s="3">
        <v>8757</v>
      </c>
      <c r="D443" s="3">
        <v>0.1</v>
      </c>
      <c r="E443" s="4" t="s">
        <v>33</v>
      </c>
      <c r="F443" s="4" t="s">
        <v>123</v>
      </c>
      <c r="G443" s="4" t="s">
        <v>124</v>
      </c>
      <c r="H443" s="4" t="s">
        <v>40</v>
      </c>
      <c r="I443" s="4" t="s">
        <v>26</v>
      </c>
      <c r="J443" s="3">
        <v>2</v>
      </c>
      <c r="K443" s="3">
        <v>25</v>
      </c>
      <c r="L443" s="3">
        <v>6</v>
      </c>
      <c r="M443" s="3">
        <v>3</v>
      </c>
      <c r="N443" s="3">
        <v>14</v>
      </c>
      <c r="O443" s="3">
        <v>2</v>
      </c>
      <c r="P443" s="3">
        <f t="shared" si="0"/>
        <v>0</v>
      </c>
      <c r="Q443" s="3">
        <f t="shared" si="1"/>
        <v>54.5454545454545</v>
      </c>
      <c r="R443" s="3">
        <f t="shared" si="2"/>
        <v>18.1818181818182</v>
      </c>
      <c r="S443" s="11"/>
    </row>
    <row r="444" ht="13.5" customHeight="1" spans="1:19">
      <c r="A444" s="4" t="s">
        <v>46</v>
      </c>
      <c r="B444" s="3">
        <v>1270</v>
      </c>
      <c r="C444" s="3">
        <v>8757</v>
      </c>
      <c r="D444" s="3">
        <v>0.1</v>
      </c>
      <c r="E444" s="4" t="s">
        <v>33</v>
      </c>
      <c r="F444" s="4" t="s">
        <v>123</v>
      </c>
      <c r="G444" s="4" t="s">
        <v>124</v>
      </c>
      <c r="H444" s="4" t="s">
        <v>40</v>
      </c>
      <c r="I444" s="4" t="s">
        <v>26</v>
      </c>
      <c r="J444" s="3">
        <v>3</v>
      </c>
      <c r="K444" s="3">
        <v>25</v>
      </c>
      <c r="L444" s="3">
        <v>5</v>
      </c>
      <c r="M444" s="3">
        <v>2</v>
      </c>
      <c r="N444" s="3">
        <v>16</v>
      </c>
      <c r="O444" s="3">
        <v>2</v>
      </c>
      <c r="P444" s="3">
        <f t="shared" si="0"/>
        <v>0</v>
      </c>
      <c r="Q444" s="3">
        <f t="shared" si="1"/>
        <v>55.5555555555556</v>
      </c>
      <c r="R444" s="3">
        <f t="shared" si="2"/>
        <v>22.2222222222222</v>
      </c>
      <c r="S444" s="11"/>
    </row>
    <row r="445" ht="13.5" customHeight="1" spans="1:19">
      <c r="A445" s="4" t="s">
        <v>46</v>
      </c>
      <c r="B445" s="3">
        <v>1270</v>
      </c>
      <c r="C445" s="3">
        <v>8757</v>
      </c>
      <c r="D445" s="3">
        <v>0.1</v>
      </c>
      <c r="E445" s="4" t="s">
        <v>33</v>
      </c>
      <c r="F445" s="4" t="s">
        <v>123</v>
      </c>
      <c r="G445" s="4" t="s">
        <v>124</v>
      </c>
      <c r="H445" s="4" t="s">
        <v>40</v>
      </c>
      <c r="I445" s="4" t="s">
        <v>26</v>
      </c>
      <c r="J445" s="3">
        <v>4</v>
      </c>
      <c r="K445" s="3">
        <v>25</v>
      </c>
      <c r="L445" s="3">
        <v>5</v>
      </c>
      <c r="M445" s="3">
        <v>7</v>
      </c>
      <c r="N445" s="3">
        <v>11</v>
      </c>
      <c r="O445" s="3">
        <v>2</v>
      </c>
      <c r="P445" s="3">
        <f t="shared" si="0"/>
        <v>0</v>
      </c>
      <c r="Q445" s="3">
        <f t="shared" si="1"/>
        <v>35.7142857142857</v>
      </c>
      <c r="R445" s="3">
        <f t="shared" si="2"/>
        <v>14.2857142857143</v>
      </c>
      <c r="S445" s="11"/>
    </row>
    <row r="446" ht="13.5" customHeight="1" spans="1:21">
      <c r="A446" s="4" t="s">
        <v>69</v>
      </c>
      <c r="B446" s="3">
        <v>1940</v>
      </c>
      <c r="C446" s="3">
        <v>11126</v>
      </c>
      <c r="D446" s="3">
        <v>0.1</v>
      </c>
      <c r="E446" s="4" t="s">
        <v>48</v>
      </c>
      <c r="F446" s="4" t="s">
        <v>142</v>
      </c>
      <c r="G446" s="3" t="s">
        <v>143</v>
      </c>
      <c r="H446" s="4" t="s">
        <v>25</v>
      </c>
      <c r="I446" s="4" t="s">
        <v>26</v>
      </c>
      <c r="J446" s="3">
        <v>1</v>
      </c>
      <c r="K446" s="3">
        <v>25</v>
      </c>
      <c r="L446" s="3">
        <v>6</v>
      </c>
      <c r="M446" s="3">
        <v>0</v>
      </c>
      <c r="N446" s="3">
        <v>0</v>
      </c>
      <c r="O446" s="3">
        <v>19</v>
      </c>
      <c r="P446" s="3">
        <f t="shared" si="0"/>
        <v>0</v>
      </c>
      <c r="Q446" s="3">
        <f t="shared" si="1"/>
        <v>24</v>
      </c>
      <c r="R446" s="3">
        <f t="shared" si="2"/>
        <v>76</v>
      </c>
      <c r="S446" s="11">
        <f>AVERAGE(Q446:Q449)</f>
        <v>23.125</v>
      </c>
      <c r="T446" s="7">
        <f>AVERAGE(R446:R449)</f>
        <v>76.875</v>
      </c>
      <c r="U446" s="8">
        <f>(L446+L447+L448+L449+O446+O447+O448+O449)/(K446+K447+K448+K449)*100</f>
        <v>99</v>
      </c>
    </row>
    <row r="447" ht="13.5" customHeight="1" spans="1:19">
      <c r="A447" s="4" t="s">
        <v>69</v>
      </c>
      <c r="B447" s="3">
        <v>1940</v>
      </c>
      <c r="C447" s="3">
        <v>11126</v>
      </c>
      <c r="D447" s="3">
        <v>0.1</v>
      </c>
      <c r="E447" s="4" t="s">
        <v>48</v>
      </c>
      <c r="F447" s="4" t="s">
        <v>142</v>
      </c>
      <c r="G447" s="3" t="s">
        <v>143</v>
      </c>
      <c r="H447" s="4" t="s">
        <v>25</v>
      </c>
      <c r="I447" s="4" t="s">
        <v>26</v>
      </c>
      <c r="J447" s="3">
        <v>2</v>
      </c>
      <c r="K447" s="3">
        <v>25</v>
      </c>
      <c r="L447" s="3">
        <v>7</v>
      </c>
      <c r="M447" s="3">
        <v>0</v>
      </c>
      <c r="N447" s="3">
        <v>0</v>
      </c>
      <c r="O447" s="3">
        <v>18</v>
      </c>
      <c r="P447" s="3">
        <f t="shared" si="0"/>
        <v>0</v>
      </c>
      <c r="Q447" s="3">
        <f t="shared" si="1"/>
        <v>28</v>
      </c>
      <c r="R447" s="3">
        <f t="shared" si="2"/>
        <v>72</v>
      </c>
      <c r="S447" s="11"/>
    </row>
    <row r="448" ht="13.5" customHeight="1" spans="1:19">
      <c r="A448" s="4" t="s">
        <v>69</v>
      </c>
      <c r="B448" s="3">
        <v>1940</v>
      </c>
      <c r="C448" s="3">
        <v>11126</v>
      </c>
      <c r="D448" s="3">
        <v>0.1</v>
      </c>
      <c r="E448" s="4" t="s">
        <v>48</v>
      </c>
      <c r="F448" s="4" t="s">
        <v>142</v>
      </c>
      <c r="G448" s="3" t="s">
        <v>143</v>
      </c>
      <c r="H448" s="4" t="s">
        <v>25</v>
      </c>
      <c r="I448" s="4" t="s">
        <v>26</v>
      </c>
      <c r="J448" s="3">
        <v>3</v>
      </c>
      <c r="K448" s="3">
        <v>25</v>
      </c>
      <c r="L448" s="3">
        <v>7</v>
      </c>
      <c r="M448" s="3">
        <v>0</v>
      </c>
      <c r="N448" s="3">
        <v>0</v>
      </c>
      <c r="O448" s="3">
        <v>18</v>
      </c>
      <c r="P448" s="3">
        <f t="shared" si="0"/>
        <v>0</v>
      </c>
      <c r="Q448" s="3">
        <f t="shared" si="1"/>
        <v>28</v>
      </c>
      <c r="R448" s="3">
        <f t="shared" si="2"/>
        <v>72</v>
      </c>
      <c r="S448" s="11"/>
    </row>
    <row r="449" ht="13.5" customHeight="1" spans="1:19">
      <c r="A449" s="4" t="s">
        <v>69</v>
      </c>
      <c r="B449" s="3">
        <v>1940</v>
      </c>
      <c r="C449" s="3">
        <v>11126</v>
      </c>
      <c r="D449" s="3">
        <v>0.1</v>
      </c>
      <c r="E449" s="4" t="s">
        <v>48</v>
      </c>
      <c r="F449" s="4" t="s">
        <v>142</v>
      </c>
      <c r="G449" s="3" t="s">
        <v>143</v>
      </c>
      <c r="H449" s="4" t="s">
        <v>25</v>
      </c>
      <c r="I449" s="4" t="s">
        <v>26</v>
      </c>
      <c r="J449" s="3">
        <v>4</v>
      </c>
      <c r="K449" s="3">
        <v>25</v>
      </c>
      <c r="L449" s="3">
        <v>3</v>
      </c>
      <c r="M449" s="3">
        <v>0</v>
      </c>
      <c r="N449" s="3">
        <v>1</v>
      </c>
      <c r="O449" s="3">
        <v>21</v>
      </c>
      <c r="P449" s="3">
        <f t="shared" si="0"/>
        <v>0</v>
      </c>
      <c r="Q449" s="3">
        <f t="shared" si="1"/>
        <v>12.5</v>
      </c>
      <c r="R449" s="3">
        <f t="shared" si="2"/>
        <v>87.5</v>
      </c>
      <c r="S449" s="11"/>
    </row>
    <row r="450" ht="13.5" customHeight="1" spans="1:21">
      <c r="A450" s="4" t="s">
        <v>85</v>
      </c>
      <c r="B450" s="3">
        <v>1167</v>
      </c>
      <c r="C450" s="3">
        <v>7918</v>
      </c>
      <c r="D450" s="3">
        <v>0.1</v>
      </c>
      <c r="E450" s="4" t="s">
        <v>33</v>
      </c>
      <c r="F450" s="4" t="s">
        <v>123</v>
      </c>
      <c r="G450" s="4" t="s">
        <v>124</v>
      </c>
      <c r="H450" s="4" t="s">
        <v>40</v>
      </c>
      <c r="I450" s="4" t="s">
        <v>26</v>
      </c>
      <c r="J450" s="3">
        <v>1</v>
      </c>
      <c r="K450" s="3">
        <v>25</v>
      </c>
      <c r="L450" s="3">
        <v>14</v>
      </c>
      <c r="M450" s="3">
        <v>0</v>
      </c>
      <c r="N450" s="3">
        <v>6</v>
      </c>
      <c r="O450" s="3">
        <v>5</v>
      </c>
      <c r="P450" s="3">
        <f t="shared" si="0"/>
        <v>0</v>
      </c>
      <c r="Q450" s="3">
        <f t="shared" si="1"/>
        <v>73.6842105263158</v>
      </c>
      <c r="R450" s="3">
        <f t="shared" si="2"/>
        <v>26.3157894736842</v>
      </c>
      <c r="S450" s="11">
        <f>AVERAGE(Q450:Q453)</f>
        <v>45.6951674056937</v>
      </c>
      <c r="T450" s="7">
        <f>AVERAGE(R450:R453)</f>
        <v>38.2944540839278</v>
      </c>
      <c r="U450" s="8">
        <f>(L450+L451+L452+L453+O450+O451+O452+O453)/(K450+K451+K452+K453)*100</f>
        <v>54</v>
      </c>
    </row>
    <row r="451" ht="13.5" customHeight="1" spans="1:19">
      <c r="A451" s="4" t="s">
        <v>85</v>
      </c>
      <c r="B451" s="3">
        <v>1167</v>
      </c>
      <c r="C451" s="3">
        <v>7918</v>
      </c>
      <c r="D451" s="3">
        <v>0.1</v>
      </c>
      <c r="E451" s="4" t="s">
        <v>33</v>
      </c>
      <c r="F451" s="4" t="s">
        <v>123</v>
      </c>
      <c r="G451" s="4" t="s">
        <v>124</v>
      </c>
      <c r="H451" s="4" t="s">
        <v>40</v>
      </c>
      <c r="I451" s="4" t="s">
        <v>26</v>
      </c>
      <c r="J451" s="3">
        <v>2</v>
      </c>
      <c r="K451" s="3">
        <v>25</v>
      </c>
      <c r="L451" s="3">
        <v>5</v>
      </c>
      <c r="M451" s="3">
        <v>1</v>
      </c>
      <c r="N451" s="3">
        <v>12</v>
      </c>
      <c r="O451" s="3">
        <v>7</v>
      </c>
      <c r="P451" s="3">
        <f t="shared" si="0"/>
        <v>0</v>
      </c>
      <c r="Q451" s="3">
        <f t="shared" si="1"/>
        <v>38.4615384615385</v>
      </c>
      <c r="R451" s="3">
        <f t="shared" si="2"/>
        <v>53.8461538461538</v>
      </c>
      <c r="S451" s="11"/>
    </row>
    <row r="452" ht="13.5" customHeight="1" spans="1:19">
      <c r="A452" s="4" t="s">
        <v>85</v>
      </c>
      <c r="B452" s="3">
        <v>1167</v>
      </c>
      <c r="C452" s="3">
        <v>7918</v>
      </c>
      <c r="D452" s="3">
        <v>0.1</v>
      </c>
      <c r="E452" s="4" t="s">
        <v>33</v>
      </c>
      <c r="F452" s="4" t="s">
        <v>123</v>
      </c>
      <c r="G452" s="4" t="s">
        <v>124</v>
      </c>
      <c r="H452" s="4" t="s">
        <v>40</v>
      </c>
      <c r="I452" s="4" t="s">
        <v>26</v>
      </c>
      <c r="J452" s="3">
        <v>3</v>
      </c>
      <c r="K452" s="3">
        <v>25</v>
      </c>
      <c r="L452" s="3">
        <v>5</v>
      </c>
      <c r="M452" s="3">
        <v>5</v>
      </c>
      <c r="N452" s="3">
        <v>7</v>
      </c>
      <c r="O452" s="3">
        <v>8</v>
      </c>
      <c r="P452" s="3">
        <f t="shared" si="0"/>
        <v>0</v>
      </c>
      <c r="Q452" s="3">
        <f t="shared" si="1"/>
        <v>27.7777777777778</v>
      </c>
      <c r="R452" s="3">
        <f t="shared" si="2"/>
        <v>44.4444444444444</v>
      </c>
      <c r="S452" s="11"/>
    </row>
    <row r="453" ht="13.5" customHeight="1" spans="1:19">
      <c r="A453" s="4" t="s">
        <v>85</v>
      </c>
      <c r="B453" s="3">
        <v>1167</v>
      </c>
      <c r="C453" s="3">
        <v>7918</v>
      </c>
      <c r="D453" s="3">
        <v>0.1</v>
      </c>
      <c r="E453" s="4" t="s">
        <v>33</v>
      </c>
      <c r="F453" s="4" t="s">
        <v>123</v>
      </c>
      <c r="G453" s="4" t="s">
        <v>124</v>
      </c>
      <c r="H453" s="4" t="s">
        <v>40</v>
      </c>
      <c r="I453" s="4" t="s">
        <v>26</v>
      </c>
      <c r="J453" s="3">
        <v>4</v>
      </c>
      <c r="K453" s="3">
        <v>25</v>
      </c>
      <c r="L453" s="3">
        <v>6</v>
      </c>
      <c r="M453" s="3">
        <v>4</v>
      </c>
      <c r="N453" s="3">
        <v>11</v>
      </c>
      <c r="O453" s="3">
        <v>4</v>
      </c>
      <c r="P453" s="3">
        <f t="shared" si="0"/>
        <v>0</v>
      </c>
      <c r="Q453" s="3">
        <f t="shared" si="1"/>
        <v>42.8571428571429</v>
      </c>
      <c r="R453" s="3">
        <f t="shared" si="2"/>
        <v>28.5714285714286</v>
      </c>
      <c r="S453" s="11"/>
    </row>
    <row r="454" ht="13.5" customHeight="1" spans="1:21">
      <c r="A454" s="3" t="s">
        <v>57</v>
      </c>
      <c r="B454" s="3">
        <v>1847</v>
      </c>
      <c r="C454" s="3">
        <v>10763</v>
      </c>
      <c r="D454" s="3">
        <v>1</v>
      </c>
      <c r="E454" s="3" t="s">
        <v>144</v>
      </c>
      <c r="F454" s="3" t="s">
        <v>145</v>
      </c>
      <c r="G454" s="3" t="s">
        <v>146</v>
      </c>
      <c r="H454" s="4" t="s">
        <v>147</v>
      </c>
      <c r="I454" s="3" t="s">
        <v>26</v>
      </c>
      <c r="J454" s="3">
        <v>1</v>
      </c>
      <c r="K454" s="3">
        <v>25</v>
      </c>
      <c r="L454" s="3">
        <v>17</v>
      </c>
      <c r="M454" s="3">
        <v>1</v>
      </c>
      <c r="N454" s="3">
        <v>0</v>
      </c>
      <c r="O454" s="3">
        <v>7</v>
      </c>
      <c r="P454" s="3">
        <f t="shared" si="0"/>
        <v>0</v>
      </c>
      <c r="Q454" s="3">
        <f t="shared" si="1"/>
        <v>68</v>
      </c>
      <c r="R454" s="3">
        <f t="shared" si="2"/>
        <v>28</v>
      </c>
      <c r="S454" s="11"/>
      <c r="T454" s="7">
        <f>AVERAGE(R454:R457)</f>
        <v>27.4583333333333</v>
      </c>
      <c r="U454" s="8">
        <f>(L454+L455+L456+L457+O454+O455+O456+O457)/(K454+K455+K456+K457)*100</f>
        <v>91</v>
      </c>
    </row>
    <row r="455" ht="13.5" customHeight="1" spans="1:19">
      <c r="A455" s="3" t="s">
        <v>57</v>
      </c>
      <c r="B455" s="3">
        <v>1847</v>
      </c>
      <c r="C455" s="3">
        <v>10763</v>
      </c>
      <c r="D455" s="3">
        <v>1</v>
      </c>
      <c r="E455" s="3" t="s">
        <v>144</v>
      </c>
      <c r="F455" s="3" t="s">
        <v>145</v>
      </c>
      <c r="G455" s="3" t="s">
        <v>146</v>
      </c>
      <c r="H455" s="4" t="s">
        <v>147</v>
      </c>
      <c r="I455" s="3" t="s">
        <v>26</v>
      </c>
      <c r="J455" s="3">
        <v>2</v>
      </c>
      <c r="K455" s="3">
        <v>25</v>
      </c>
      <c r="L455" s="3">
        <v>11</v>
      </c>
      <c r="M455" s="3">
        <v>2</v>
      </c>
      <c r="N455" s="3">
        <v>1</v>
      </c>
      <c r="O455" s="3">
        <v>11</v>
      </c>
      <c r="P455" s="3">
        <f t="shared" si="0"/>
        <v>0</v>
      </c>
      <c r="Q455" s="3">
        <f t="shared" si="1"/>
        <v>45.8333333333333</v>
      </c>
      <c r="R455" s="3">
        <f t="shared" si="2"/>
        <v>45.8333333333333</v>
      </c>
      <c r="S455" s="11">
        <f>AVERAGE(Q455:Q458)</f>
        <v>58.172619047619</v>
      </c>
    </row>
    <row r="456" ht="13.5" customHeight="1" spans="1:19">
      <c r="A456" s="3" t="s">
        <v>57</v>
      </c>
      <c r="B456" s="3">
        <v>1847</v>
      </c>
      <c r="C456" s="3">
        <v>10763</v>
      </c>
      <c r="D456" s="3">
        <v>1</v>
      </c>
      <c r="E456" s="3" t="s">
        <v>144</v>
      </c>
      <c r="F456" s="3" t="s">
        <v>145</v>
      </c>
      <c r="G456" s="3" t="s">
        <v>146</v>
      </c>
      <c r="H456" s="4" t="s">
        <v>147</v>
      </c>
      <c r="I456" s="3" t="s">
        <v>26</v>
      </c>
      <c r="J456" s="3">
        <v>3</v>
      </c>
      <c r="K456" s="3">
        <v>25</v>
      </c>
      <c r="L456" s="3">
        <v>18</v>
      </c>
      <c r="M456" s="3">
        <v>3</v>
      </c>
      <c r="N456" s="3">
        <v>0</v>
      </c>
      <c r="O456" s="3">
        <v>4</v>
      </c>
      <c r="P456" s="3">
        <f t="shared" si="0"/>
        <v>0</v>
      </c>
      <c r="Q456" s="3">
        <f t="shared" si="1"/>
        <v>72</v>
      </c>
      <c r="R456" s="3">
        <f t="shared" si="2"/>
        <v>16</v>
      </c>
      <c r="S456" s="11"/>
    </row>
    <row r="457" ht="13.5" customHeight="1" spans="1:19">
      <c r="A457" s="3" t="s">
        <v>57</v>
      </c>
      <c r="B457" s="3">
        <v>1847</v>
      </c>
      <c r="C457" s="3">
        <v>10763</v>
      </c>
      <c r="D457" s="3">
        <v>1</v>
      </c>
      <c r="E457" s="3" t="s">
        <v>144</v>
      </c>
      <c r="F457" s="3" t="s">
        <v>145</v>
      </c>
      <c r="G457" s="3" t="s">
        <v>146</v>
      </c>
      <c r="H457" s="4" t="s">
        <v>147</v>
      </c>
      <c r="I457" s="3" t="s">
        <v>26</v>
      </c>
      <c r="J457" s="3">
        <v>4</v>
      </c>
      <c r="K457" s="3">
        <v>25</v>
      </c>
      <c r="L457" s="3">
        <v>18</v>
      </c>
      <c r="M457" s="3">
        <v>2</v>
      </c>
      <c r="N457" s="3">
        <v>0</v>
      </c>
      <c r="O457" s="3">
        <v>5</v>
      </c>
      <c r="P457" s="3">
        <f t="shared" si="0"/>
        <v>0</v>
      </c>
      <c r="Q457" s="3">
        <f t="shared" si="1"/>
        <v>72</v>
      </c>
      <c r="R457" s="3">
        <f t="shared" si="2"/>
        <v>20</v>
      </c>
      <c r="S457" s="11"/>
    </row>
    <row r="458" ht="13.5" customHeight="1" spans="1:21">
      <c r="A458" s="4" t="s">
        <v>42</v>
      </c>
      <c r="B458" s="3">
        <v>1441</v>
      </c>
      <c r="C458" s="3">
        <v>9420</v>
      </c>
      <c r="D458" s="3">
        <v>0.1</v>
      </c>
      <c r="E458" s="4" t="s">
        <v>48</v>
      </c>
      <c r="F458" s="4" t="s">
        <v>139</v>
      </c>
      <c r="G458" s="4" t="s">
        <v>109</v>
      </c>
      <c r="H458" s="4" t="s">
        <v>25</v>
      </c>
      <c r="I458" s="4" t="s">
        <v>26</v>
      </c>
      <c r="J458" s="3">
        <v>1</v>
      </c>
      <c r="K458" s="3">
        <v>25</v>
      </c>
      <c r="L458" s="3">
        <v>3</v>
      </c>
      <c r="M458" s="3">
        <v>4</v>
      </c>
      <c r="N458" s="3">
        <v>18</v>
      </c>
      <c r="O458" s="3">
        <v>0</v>
      </c>
      <c r="P458" s="3">
        <f t="shared" si="0"/>
        <v>0</v>
      </c>
      <c r="Q458" s="3">
        <f t="shared" si="1"/>
        <v>42.8571428571429</v>
      </c>
      <c r="R458" s="3">
        <f t="shared" si="2"/>
        <v>0</v>
      </c>
      <c r="S458" s="11">
        <f>AVERAGE(Q458:Q461)</f>
        <v>27.172619047619</v>
      </c>
      <c r="T458" s="7">
        <f>AVERAGE(R458:R461)</f>
        <v>0</v>
      </c>
      <c r="U458" s="8">
        <f>(L458+L459+L460+L461+O458+O459+O460+O461)/(K458+K459+K460+K461)*100</f>
        <v>7</v>
      </c>
    </row>
    <row r="459" ht="13.5" customHeight="1" spans="1:19">
      <c r="A459" s="4" t="s">
        <v>42</v>
      </c>
      <c r="B459" s="3">
        <v>1441</v>
      </c>
      <c r="C459" s="3">
        <v>9420</v>
      </c>
      <c r="D459" s="3">
        <v>0.1</v>
      </c>
      <c r="E459" s="4" t="s">
        <v>48</v>
      </c>
      <c r="F459" s="4" t="s">
        <v>139</v>
      </c>
      <c r="G459" s="4" t="s">
        <v>109</v>
      </c>
      <c r="H459" s="4" t="s">
        <v>25</v>
      </c>
      <c r="I459" s="4" t="s">
        <v>26</v>
      </c>
      <c r="J459" s="3">
        <v>2</v>
      </c>
      <c r="K459" s="3">
        <v>25</v>
      </c>
      <c r="L459" s="3">
        <v>1</v>
      </c>
      <c r="M459" s="3">
        <v>4</v>
      </c>
      <c r="N459" s="3">
        <v>20</v>
      </c>
      <c r="O459" s="3">
        <v>0</v>
      </c>
      <c r="P459" s="3">
        <f t="shared" si="0"/>
        <v>0</v>
      </c>
      <c r="Q459" s="3">
        <f t="shared" si="1"/>
        <v>20</v>
      </c>
      <c r="R459" s="3">
        <f t="shared" si="2"/>
        <v>0</v>
      </c>
      <c r="S459" s="11"/>
    </row>
    <row r="460" ht="13.5" customHeight="1" spans="1:19">
      <c r="A460" s="4" t="s">
        <v>42</v>
      </c>
      <c r="B460" s="3">
        <v>1441</v>
      </c>
      <c r="C460" s="3">
        <v>9420</v>
      </c>
      <c r="D460" s="3">
        <v>0.1</v>
      </c>
      <c r="E460" s="4" t="s">
        <v>48</v>
      </c>
      <c r="F460" s="4" t="s">
        <v>139</v>
      </c>
      <c r="G460" s="4" t="s">
        <v>109</v>
      </c>
      <c r="H460" s="4" t="s">
        <v>25</v>
      </c>
      <c r="I460" s="4" t="s">
        <v>26</v>
      </c>
      <c r="J460" s="3">
        <v>3</v>
      </c>
      <c r="K460" s="3">
        <v>25</v>
      </c>
      <c r="L460" s="3">
        <v>2</v>
      </c>
      <c r="M460" s="3">
        <v>4</v>
      </c>
      <c r="N460" s="3">
        <v>19</v>
      </c>
      <c r="O460" s="3">
        <v>0</v>
      </c>
      <c r="P460" s="3">
        <f t="shared" si="0"/>
        <v>0</v>
      </c>
      <c r="Q460" s="3">
        <f t="shared" si="1"/>
        <v>33.3333333333333</v>
      </c>
      <c r="R460" s="3">
        <f t="shared" si="2"/>
        <v>0</v>
      </c>
      <c r="S460" s="11"/>
    </row>
    <row r="461" ht="13.5" customHeight="1" spans="1:19">
      <c r="A461" s="4" t="s">
        <v>42</v>
      </c>
      <c r="B461" s="3">
        <v>1441</v>
      </c>
      <c r="C461" s="3">
        <v>9420</v>
      </c>
      <c r="D461" s="3">
        <v>0.1</v>
      </c>
      <c r="E461" s="4" t="s">
        <v>48</v>
      </c>
      <c r="F461" s="4" t="s">
        <v>139</v>
      </c>
      <c r="G461" s="4" t="s">
        <v>109</v>
      </c>
      <c r="H461" s="4" t="s">
        <v>25</v>
      </c>
      <c r="I461" s="4" t="s">
        <v>26</v>
      </c>
      <c r="J461" s="3">
        <v>4</v>
      </c>
      <c r="K461" s="3">
        <v>25</v>
      </c>
      <c r="L461" s="3">
        <v>1</v>
      </c>
      <c r="M461" s="3">
        <v>7</v>
      </c>
      <c r="N461" s="3">
        <v>17</v>
      </c>
      <c r="O461" s="3">
        <v>0</v>
      </c>
      <c r="P461" s="3">
        <f t="shared" si="0"/>
        <v>0</v>
      </c>
      <c r="Q461" s="3">
        <f t="shared" si="1"/>
        <v>12.5</v>
      </c>
      <c r="R461" s="3">
        <f t="shared" si="2"/>
        <v>0</v>
      </c>
      <c r="S461" s="11"/>
    </row>
    <row r="462" ht="13.5" customHeight="1" spans="1:21">
      <c r="A462" s="4" t="s">
        <v>32</v>
      </c>
      <c r="B462" s="3">
        <v>1342</v>
      </c>
      <c r="C462" s="3">
        <v>9074</v>
      </c>
      <c r="D462" s="3">
        <v>0.1</v>
      </c>
      <c r="E462" s="4" t="s">
        <v>28</v>
      </c>
      <c r="F462" s="4" t="s">
        <v>148</v>
      </c>
      <c r="G462" s="3" t="s">
        <v>71</v>
      </c>
      <c r="H462" s="4" t="s">
        <v>40</v>
      </c>
      <c r="I462" s="4" t="s">
        <v>26</v>
      </c>
      <c r="J462" s="3">
        <v>1</v>
      </c>
      <c r="K462" s="3">
        <v>25</v>
      </c>
      <c r="L462" s="3">
        <v>0</v>
      </c>
      <c r="M462" s="3">
        <v>9</v>
      </c>
      <c r="N462" s="3">
        <v>0</v>
      </c>
      <c r="O462" s="3">
        <v>16</v>
      </c>
      <c r="P462" s="3">
        <f t="shared" si="0"/>
        <v>0</v>
      </c>
      <c r="Q462" s="3">
        <f t="shared" si="1"/>
        <v>0</v>
      </c>
      <c r="R462" s="3">
        <f t="shared" si="2"/>
        <v>64</v>
      </c>
      <c r="S462" s="11">
        <f>AVERAGE(Q462:Q465)</f>
        <v>3</v>
      </c>
      <c r="T462" s="7">
        <f>AVERAGE(R462:R465)</f>
        <v>77</v>
      </c>
      <c r="U462" s="8">
        <f>(L462+L463+L464+L465+O462+O463+O464+O465)/(K462+K463+K464+K465)*100</f>
        <v>80</v>
      </c>
    </row>
    <row r="463" ht="13.5" customHeight="1" spans="1:19">
      <c r="A463" s="4" t="s">
        <v>32</v>
      </c>
      <c r="B463" s="3">
        <v>1342</v>
      </c>
      <c r="C463" s="3">
        <v>9074</v>
      </c>
      <c r="D463" s="3">
        <v>0.1</v>
      </c>
      <c r="E463" s="4" t="s">
        <v>28</v>
      </c>
      <c r="F463" s="4" t="s">
        <v>148</v>
      </c>
      <c r="G463" s="3" t="s">
        <v>71</v>
      </c>
      <c r="H463" s="4" t="s">
        <v>40</v>
      </c>
      <c r="I463" s="4" t="s">
        <v>26</v>
      </c>
      <c r="J463" s="3">
        <v>2</v>
      </c>
      <c r="K463" s="3">
        <v>25</v>
      </c>
      <c r="L463" s="3">
        <v>1</v>
      </c>
      <c r="M463" s="3">
        <v>5</v>
      </c>
      <c r="N463" s="3">
        <v>0</v>
      </c>
      <c r="O463" s="3">
        <v>19</v>
      </c>
      <c r="P463" s="3">
        <f t="shared" si="0"/>
        <v>0</v>
      </c>
      <c r="Q463" s="3">
        <f t="shared" si="1"/>
        <v>4</v>
      </c>
      <c r="R463" s="3">
        <f t="shared" si="2"/>
        <v>76</v>
      </c>
      <c r="S463" s="11"/>
    </row>
    <row r="464" ht="13.5" customHeight="1" spans="1:19">
      <c r="A464" s="4" t="s">
        <v>32</v>
      </c>
      <c r="B464" s="3">
        <v>1342</v>
      </c>
      <c r="C464" s="3">
        <v>9074</v>
      </c>
      <c r="D464" s="3">
        <v>0.1</v>
      </c>
      <c r="E464" s="4" t="s">
        <v>28</v>
      </c>
      <c r="F464" s="4" t="s">
        <v>148</v>
      </c>
      <c r="G464" s="3" t="s">
        <v>71</v>
      </c>
      <c r="H464" s="4" t="s">
        <v>40</v>
      </c>
      <c r="I464" s="4" t="s">
        <v>26</v>
      </c>
      <c r="J464" s="3">
        <v>3</v>
      </c>
      <c r="K464" s="3">
        <v>25</v>
      </c>
      <c r="L464" s="3">
        <v>0</v>
      </c>
      <c r="M464" s="3">
        <v>2</v>
      </c>
      <c r="N464" s="3">
        <v>0</v>
      </c>
      <c r="O464" s="3">
        <v>23</v>
      </c>
      <c r="P464" s="3">
        <f t="shared" si="0"/>
        <v>0</v>
      </c>
      <c r="Q464" s="3">
        <f t="shared" si="1"/>
        <v>0</v>
      </c>
      <c r="R464" s="3">
        <f t="shared" si="2"/>
        <v>92</v>
      </c>
      <c r="S464" s="11"/>
    </row>
    <row r="465" ht="13.5" customHeight="1" spans="1:19">
      <c r="A465" s="4" t="s">
        <v>32</v>
      </c>
      <c r="B465" s="3">
        <v>1342</v>
      </c>
      <c r="C465" s="3">
        <v>9074</v>
      </c>
      <c r="D465" s="3">
        <v>0.1</v>
      </c>
      <c r="E465" s="4" t="s">
        <v>28</v>
      </c>
      <c r="F465" s="4" t="s">
        <v>148</v>
      </c>
      <c r="G465" s="3" t="s">
        <v>71</v>
      </c>
      <c r="H465" s="4" t="s">
        <v>40</v>
      </c>
      <c r="I465" s="4" t="s">
        <v>26</v>
      </c>
      <c r="J465" s="3">
        <v>4</v>
      </c>
      <c r="K465" s="3">
        <v>25</v>
      </c>
      <c r="L465" s="3">
        <v>2</v>
      </c>
      <c r="M465" s="3">
        <v>4</v>
      </c>
      <c r="N465" s="3">
        <v>0</v>
      </c>
      <c r="O465" s="3">
        <v>19</v>
      </c>
      <c r="P465" s="3">
        <f t="shared" si="0"/>
        <v>0</v>
      </c>
      <c r="Q465" s="3">
        <f t="shared" si="1"/>
        <v>8</v>
      </c>
      <c r="R465" s="3">
        <f t="shared" si="2"/>
        <v>76</v>
      </c>
      <c r="S465" s="11"/>
    </row>
    <row r="466" ht="13.5" customHeight="1" spans="1:21">
      <c r="A466" s="4" t="s">
        <v>69</v>
      </c>
      <c r="B466" s="3">
        <v>1940</v>
      </c>
      <c r="C466" s="3">
        <v>11126</v>
      </c>
      <c r="D466" s="3">
        <v>0.1</v>
      </c>
      <c r="E466" s="4" t="s">
        <v>28</v>
      </c>
      <c r="F466" s="4" t="s">
        <v>78</v>
      </c>
      <c r="G466" s="3" t="s">
        <v>71</v>
      </c>
      <c r="H466" s="4" t="s">
        <v>40</v>
      </c>
      <c r="I466" s="4" t="s">
        <v>26</v>
      </c>
      <c r="J466" s="3">
        <v>1</v>
      </c>
      <c r="K466" s="3">
        <v>25</v>
      </c>
      <c r="L466" s="3">
        <v>1</v>
      </c>
      <c r="M466" s="3">
        <v>0</v>
      </c>
      <c r="N466" s="3">
        <v>2</v>
      </c>
      <c r="O466" s="3">
        <v>22</v>
      </c>
      <c r="P466" s="3">
        <f t="shared" si="0"/>
        <v>0</v>
      </c>
      <c r="Q466" s="3">
        <f t="shared" si="1"/>
        <v>4.34782608695652</v>
      </c>
      <c r="R466" s="3">
        <f t="shared" si="2"/>
        <v>95.6521739130435</v>
      </c>
      <c r="S466" s="11">
        <f>AVERAGE(Q466:Q469)</f>
        <v>3.17391304347826</v>
      </c>
      <c r="T466" s="7">
        <f>AVERAGE(R466:R469)</f>
        <v>91.3913043478261</v>
      </c>
      <c r="U466" s="8">
        <f>(L466+L467+L468+L469+O466+O467+O468+O469)/(K466+K467+K468+K469)*100</f>
        <v>90</v>
      </c>
    </row>
    <row r="467" ht="13.5" customHeight="1" spans="1:19">
      <c r="A467" s="4" t="s">
        <v>69</v>
      </c>
      <c r="B467" s="3">
        <v>1940</v>
      </c>
      <c r="C467" s="3">
        <v>11126</v>
      </c>
      <c r="D467" s="3">
        <v>0.1</v>
      </c>
      <c r="E467" s="4" t="s">
        <v>28</v>
      </c>
      <c r="F467" s="4" t="s">
        <v>78</v>
      </c>
      <c r="G467" s="3" t="s">
        <v>71</v>
      </c>
      <c r="H467" s="4" t="s">
        <v>40</v>
      </c>
      <c r="I467" s="4" t="s">
        <v>26</v>
      </c>
      <c r="J467" s="3">
        <v>2</v>
      </c>
      <c r="K467" s="3">
        <v>25</v>
      </c>
      <c r="L467" s="3">
        <v>0</v>
      </c>
      <c r="M467" s="3">
        <v>0</v>
      </c>
      <c r="N467" s="3">
        <v>1</v>
      </c>
      <c r="O467" s="3">
        <v>24</v>
      </c>
      <c r="P467" s="3">
        <f t="shared" si="0"/>
        <v>0</v>
      </c>
      <c r="Q467" s="3">
        <f t="shared" si="1"/>
        <v>0</v>
      </c>
      <c r="R467" s="3">
        <f t="shared" si="2"/>
        <v>100</v>
      </c>
      <c r="S467" s="11"/>
    </row>
    <row r="468" ht="13.5" customHeight="1" spans="1:19">
      <c r="A468" s="4" t="s">
        <v>69</v>
      </c>
      <c r="B468" s="3">
        <v>1940</v>
      </c>
      <c r="C468" s="3">
        <v>11126</v>
      </c>
      <c r="D468" s="3">
        <v>0.1</v>
      </c>
      <c r="E468" s="4" t="s">
        <v>28</v>
      </c>
      <c r="F468" s="4" t="s">
        <v>78</v>
      </c>
      <c r="G468" s="3" t="s">
        <v>71</v>
      </c>
      <c r="H468" s="4" t="s">
        <v>40</v>
      </c>
      <c r="I468" s="4" t="s">
        <v>26</v>
      </c>
      <c r="J468" s="3">
        <v>3</v>
      </c>
      <c r="K468" s="3">
        <v>25</v>
      </c>
      <c r="L468" s="3">
        <v>1</v>
      </c>
      <c r="M468" s="3">
        <v>5</v>
      </c>
      <c r="N468" s="3">
        <v>2</v>
      </c>
      <c r="O468" s="3">
        <v>17</v>
      </c>
      <c r="P468" s="3">
        <f t="shared" si="0"/>
        <v>0</v>
      </c>
      <c r="Q468" s="3">
        <f t="shared" si="1"/>
        <v>4.34782608695652</v>
      </c>
      <c r="R468" s="3">
        <f t="shared" si="2"/>
        <v>73.9130434782609</v>
      </c>
      <c r="S468" s="11"/>
    </row>
    <row r="469" ht="13.5" customHeight="1" spans="1:19">
      <c r="A469" s="4" t="s">
        <v>69</v>
      </c>
      <c r="B469" s="3">
        <v>1940</v>
      </c>
      <c r="C469" s="3">
        <v>11126</v>
      </c>
      <c r="D469" s="3">
        <v>0.1</v>
      </c>
      <c r="E469" s="4" t="s">
        <v>28</v>
      </c>
      <c r="F469" s="4" t="s">
        <v>78</v>
      </c>
      <c r="G469" s="3" t="s">
        <v>71</v>
      </c>
      <c r="H469" s="4" t="s">
        <v>40</v>
      </c>
      <c r="I469" s="4" t="s">
        <v>26</v>
      </c>
      <c r="J469" s="3">
        <v>4</v>
      </c>
      <c r="K469" s="3">
        <v>25</v>
      </c>
      <c r="L469" s="3">
        <v>1</v>
      </c>
      <c r="M469" s="3">
        <v>0</v>
      </c>
      <c r="N469" s="3">
        <v>0</v>
      </c>
      <c r="O469" s="3">
        <v>24</v>
      </c>
      <c r="P469" s="3">
        <f t="shared" si="0"/>
        <v>0</v>
      </c>
      <c r="Q469" s="3">
        <f t="shared" si="1"/>
        <v>4</v>
      </c>
      <c r="R469" s="3">
        <f t="shared" si="2"/>
        <v>96</v>
      </c>
      <c r="S469" s="11"/>
    </row>
    <row r="470" ht="13.5" customHeight="1" spans="1:21">
      <c r="A470" s="4" t="s">
        <v>60</v>
      </c>
      <c r="B470" s="3">
        <v>1330</v>
      </c>
      <c r="C470" s="3">
        <v>9133</v>
      </c>
      <c r="D470" s="3">
        <v>0.1</v>
      </c>
      <c r="E470" s="4" t="s">
        <v>52</v>
      </c>
      <c r="F470" s="4" t="s">
        <v>80</v>
      </c>
      <c r="G470" s="4" t="s">
        <v>59</v>
      </c>
      <c r="H470" s="4" t="s">
        <v>25</v>
      </c>
      <c r="I470" s="4" t="s">
        <v>26</v>
      </c>
      <c r="J470" s="3">
        <v>1</v>
      </c>
      <c r="K470" s="3">
        <v>25</v>
      </c>
      <c r="L470" s="3">
        <v>22</v>
      </c>
      <c r="M470" s="3">
        <v>0</v>
      </c>
      <c r="N470" s="3">
        <v>0</v>
      </c>
      <c r="O470" s="3">
        <v>3</v>
      </c>
      <c r="P470" s="3">
        <f t="shared" si="0"/>
        <v>0</v>
      </c>
      <c r="Q470" s="3">
        <f t="shared" si="1"/>
        <v>88</v>
      </c>
      <c r="R470" s="3">
        <f t="shared" si="2"/>
        <v>12</v>
      </c>
      <c r="S470" s="11">
        <f>AVERAGE(Q470:Q473)</f>
        <v>72.375</v>
      </c>
      <c r="T470" s="7">
        <f>AVERAGE(R470:R473)</f>
        <v>26.625</v>
      </c>
      <c r="U470" s="8">
        <f>(L470+L471+L472+L473+O470+O471+O472+O473)/(K470+K471+K472+K473)*100</f>
        <v>97</v>
      </c>
    </row>
    <row r="471" ht="13.5" customHeight="1" spans="1:19">
      <c r="A471" s="4" t="s">
        <v>60</v>
      </c>
      <c r="B471" s="3">
        <v>1330</v>
      </c>
      <c r="C471" s="3">
        <v>9133</v>
      </c>
      <c r="D471" s="3">
        <v>0.1</v>
      </c>
      <c r="E471" s="4" t="s">
        <v>52</v>
      </c>
      <c r="F471" s="4" t="s">
        <v>80</v>
      </c>
      <c r="G471" s="4" t="s">
        <v>59</v>
      </c>
      <c r="H471" s="4" t="s">
        <v>25</v>
      </c>
      <c r="I471" s="4" t="s">
        <v>26</v>
      </c>
      <c r="J471" s="3">
        <v>2</v>
      </c>
      <c r="K471" s="3">
        <v>25</v>
      </c>
      <c r="L471" s="3">
        <v>19</v>
      </c>
      <c r="M471" s="3">
        <v>0</v>
      </c>
      <c r="N471" s="3">
        <v>1</v>
      </c>
      <c r="O471" s="3">
        <v>5</v>
      </c>
      <c r="P471" s="3">
        <f t="shared" si="0"/>
        <v>0</v>
      </c>
      <c r="Q471" s="3">
        <f t="shared" si="1"/>
        <v>79.1666666666667</v>
      </c>
      <c r="R471" s="3">
        <f t="shared" si="2"/>
        <v>20.8333333333333</v>
      </c>
      <c r="S471" s="11"/>
    </row>
    <row r="472" ht="13.5" customHeight="1" spans="1:19">
      <c r="A472" s="4" t="s">
        <v>60</v>
      </c>
      <c r="B472" s="3">
        <v>1330</v>
      </c>
      <c r="C472" s="3">
        <v>9133</v>
      </c>
      <c r="D472" s="3">
        <v>0.1</v>
      </c>
      <c r="E472" s="4" t="s">
        <v>52</v>
      </c>
      <c r="F472" s="4" t="s">
        <v>80</v>
      </c>
      <c r="G472" s="4" t="s">
        <v>59</v>
      </c>
      <c r="H472" s="4" t="s">
        <v>25</v>
      </c>
      <c r="I472" s="4" t="s">
        <v>26</v>
      </c>
      <c r="J472" s="3">
        <v>3</v>
      </c>
      <c r="K472" s="3">
        <v>25</v>
      </c>
      <c r="L472" s="3">
        <v>14</v>
      </c>
      <c r="M472" s="3">
        <v>0</v>
      </c>
      <c r="N472" s="3">
        <v>1</v>
      </c>
      <c r="O472" s="3">
        <v>10</v>
      </c>
      <c r="P472" s="3">
        <f t="shared" si="0"/>
        <v>0</v>
      </c>
      <c r="Q472" s="3">
        <f t="shared" si="1"/>
        <v>58.3333333333333</v>
      </c>
      <c r="R472" s="3">
        <f t="shared" si="2"/>
        <v>41.6666666666667</v>
      </c>
      <c r="S472" s="11"/>
    </row>
    <row r="473" ht="13.5" customHeight="1" spans="1:19">
      <c r="A473" s="4" t="s">
        <v>60</v>
      </c>
      <c r="B473" s="3">
        <v>1330</v>
      </c>
      <c r="C473" s="3">
        <v>9133</v>
      </c>
      <c r="D473" s="3">
        <v>0.1</v>
      </c>
      <c r="E473" s="4" t="s">
        <v>52</v>
      </c>
      <c r="F473" s="4" t="s">
        <v>80</v>
      </c>
      <c r="G473" s="4" t="s">
        <v>59</v>
      </c>
      <c r="H473" s="4" t="s">
        <v>25</v>
      </c>
      <c r="I473" s="4" t="s">
        <v>26</v>
      </c>
      <c r="J473" s="3">
        <v>4</v>
      </c>
      <c r="K473" s="3">
        <v>25</v>
      </c>
      <c r="L473" s="3">
        <v>16</v>
      </c>
      <c r="M473" s="3">
        <v>1</v>
      </c>
      <c r="N473" s="3">
        <v>0</v>
      </c>
      <c r="O473" s="3">
        <v>8</v>
      </c>
      <c r="P473" s="3">
        <f t="shared" si="0"/>
        <v>0</v>
      </c>
      <c r="Q473" s="3">
        <f t="shared" si="1"/>
        <v>64</v>
      </c>
      <c r="R473" s="3">
        <f t="shared" si="2"/>
        <v>32</v>
      </c>
      <c r="S473" s="11"/>
    </row>
    <row r="474" ht="13.5" customHeight="1" spans="1:21">
      <c r="A474" s="4" t="s">
        <v>66</v>
      </c>
      <c r="B474" s="3">
        <v>1153</v>
      </c>
      <c r="C474" s="3">
        <v>7684</v>
      </c>
      <c r="D474" s="3">
        <v>0.1</v>
      </c>
      <c r="E474" s="4" t="s">
        <v>52</v>
      </c>
      <c r="F474" s="4" t="s">
        <v>80</v>
      </c>
      <c r="G474" s="4" t="s">
        <v>149</v>
      </c>
      <c r="H474" s="4" t="s">
        <v>40</v>
      </c>
      <c r="I474" s="4" t="s">
        <v>26</v>
      </c>
      <c r="J474" s="3">
        <v>1</v>
      </c>
      <c r="K474" s="3">
        <v>25</v>
      </c>
      <c r="L474" s="3">
        <v>21</v>
      </c>
      <c r="M474" s="3">
        <v>1</v>
      </c>
      <c r="N474" s="3">
        <v>0</v>
      </c>
      <c r="O474" s="3">
        <v>3</v>
      </c>
      <c r="P474" s="3">
        <f t="shared" si="0"/>
        <v>0</v>
      </c>
      <c r="Q474" s="3">
        <f t="shared" si="1"/>
        <v>84</v>
      </c>
      <c r="R474" s="3">
        <f t="shared" si="2"/>
        <v>12</v>
      </c>
      <c r="S474" s="11">
        <f>AVERAGE(Q474:Q477)</f>
        <v>81.5189393939394</v>
      </c>
      <c r="T474" s="7">
        <f>AVERAGE(R474:R477)</f>
        <v>17.4810606060606</v>
      </c>
      <c r="U474" s="8">
        <f>(L474+L475+L476+L477+O474+O475+O476+O477)/(K474+K475+K476+K477)*100</f>
        <v>95</v>
      </c>
    </row>
    <row r="475" ht="13.5" customHeight="1" spans="1:19">
      <c r="A475" s="4" t="s">
        <v>66</v>
      </c>
      <c r="B475" s="3">
        <v>1153</v>
      </c>
      <c r="C475" s="3">
        <v>7684</v>
      </c>
      <c r="D475" s="3">
        <v>0.1</v>
      </c>
      <c r="E475" s="4" t="s">
        <v>52</v>
      </c>
      <c r="F475" s="4" t="s">
        <v>80</v>
      </c>
      <c r="G475" s="4" t="s">
        <v>149</v>
      </c>
      <c r="H475" s="4" t="s">
        <v>40</v>
      </c>
      <c r="I475" s="4" t="s">
        <v>26</v>
      </c>
      <c r="J475" s="3">
        <v>2</v>
      </c>
      <c r="K475" s="3">
        <v>25</v>
      </c>
      <c r="L475" s="3">
        <v>20</v>
      </c>
      <c r="M475" s="3">
        <v>0</v>
      </c>
      <c r="N475" s="3">
        <v>3</v>
      </c>
      <c r="O475" s="3">
        <v>2</v>
      </c>
      <c r="P475" s="3">
        <f t="shared" si="0"/>
        <v>0</v>
      </c>
      <c r="Q475" s="3">
        <f t="shared" si="1"/>
        <v>90.9090909090909</v>
      </c>
      <c r="R475" s="3">
        <f t="shared" si="2"/>
        <v>9.09090909090909</v>
      </c>
      <c r="S475" s="11"/>
    </row>
    <row r="476" ht="13.5" customHeight="1" spans="1:19">
      <c r="A476" s="4" t="s">
        <v>66</v>
      </c>
      <c r="B476" s="3">
        <v>1153</v>
      </c>
      <c r="C476" s="3">
        <v>7684</v>
      </c>
      <c r="D476" s="3">
        <v>0.1</v>
      </c>
      <c r="E476" s="4" t="s">
        <v>52</v>
      </c>
      <c r="F476" s="4" t="s">
        <v>80</v>
      </c>
      <c r="G476" s="4" t="s">
        <v>149</v>
      </c>
      <c r="H476" s="4" t="s">
        <v>40</v>
      </c>
      <c r="I476" s="4" t="s">
        <v>26</v>
      </c>
      <c r="J476" s="3">
        <v>3</v>
      </c>
      <c r="K476" s="3">
        <v>25</v>
      </c>
      <c r="L476" s="3">
        <v>18</v>
      </c>
      <c r="M476" s="3">
        <v>0</v>
      </c>
      <c r="N476" s="3">
        <v>0</v>
      </c>
      <c r="O476" s="3">
        <v>7</v>
      </c>
      <c r="P476" s="3">
        <f t="shared" si="0"/>
        <v>0</v>
      </c>
      <c r="Q476" s="3">
        <f t="shared" si="1"/>
        <v>72</v>
      </c>
      <c r="R476" s="3">
        <f t="shared" si="2"/>
        <v>28</v>
      </c>
      <c r="S476" s="11"/>
    </row>
    <row r="477" ht="13.5" customHeight="1" spans="1:19">
      <c r="A477" s="4" t="s">
        <v>66</v>
      </c>
      <c r="B477" s="3">
        <v>1153</v>
      </c>
      <c r="C477" s="3">
        <v>7684</v>
      </c>
      <c r="D477" s="3">
        <v>0.1</v>
      </c>
      <c r="E477" s="4" t="s">
        <v>52</v>
      </c>
      <c r="F477" s="4" t="s">
        <v>80</v>
      </c>
      <c r="G477" s="4" t="s">
        <v>149</v>
      </c>
      <c r="H477" s="4" t="s">
        <v>40</v>
      </c>
      <c r="I477" s="4" t="s">
        <v>26</v>
      </c>
      <c r="J477" s="3">
        <v>4</v>
      </c>
      <c r="K477" s="3">
        <v>25</v>
      </c>
      <c r="L477" s="3">
        <v>19</v>
      </c>
      <c r="M477" s="3">
        <v>0</v>
      </c>
      <c r="N477" s="3">
        <v>1</v>
      </c>
      <c r="O477" s="3">
        <v>5</v>
      </c>
      <c r="P477" s="3">
        <f t="shared" si="0"/>
        <v>0</v>
      </c>
      <c r="Q477" s="3">
        <f t="shared" si="1"/>
        <v>79.1666666666667</v>
      </c>
      <c r="R477" s="3">
        <f t="shared" si="2"/>
        <v>20.8333333333333</v>
      </c>
      <c r="S477" s="11"/>
    </row>
    <row r="478" ht="13.5" customHeight="1" spans="1:21">
      <c r="A478" s="4" t="s">
        <v>41</v>
      </c>
      <c r="B478" s="3">
        <v>1073</v>
      </c>
      <c r="C478" s="3">
        <v>6256</v>
      </c>
      <c r="D478" s="3">
        <v>0.1</v>
      </c>
      <c r="E478" s="4" t="s">
        <v>52</v>
      </c>
      <c r="F478" s="4" t="s">
        <v>80</v>
      </c>
      <c r="G478" s="4" t="s">
        <v>59</v>
      </c>
      <c r="H478" s="4" t="s">
        <v>25</v>
      </c>
      <c r="I478" s="4" t="s">
        <v>26</v>
      </c>
      <c r="J478" s="3">
        <v>1</v>
      </c>
      <c r="K478" s="3">
        <v>25</v>
      </c>
      <c r="L478" s="3">
        <v>15</v>
      </c>
      <c r="M478" s="3">
        <v>0</v>
      </c>
      <c r="N478" s="3">
        <v>0</v>
      </c>
      <c r="O478" s="3">
        <v>10</v>
      </c>
      <c r="P478" s="3">
        <f t="shared" si="0"/>
        <v>0</v>
      </c>
      <c r="Q478" s="3">
        <f t="shared" si="1"/>
        <v>60</v>
      </c>
      <c r="R478" s="3">
        <f t="shared" si="2"/>
        <v>40</v>
      </c>
      <c r="S478" s="11">
        <f>AVERAGE(Q478:Q481)</f>
        <v>58.4864953886693</v>
      </c>
      <c r="T478" s="7">
        <f>AVERAGE(R478:R481)</f>
        <v>40.471837944664</v>
      </c>
      <c r="U478" s="8">
        <f>(L478+L479+L480+L481+O478+O479+O480+O481)/(K478+K479+K480+K481)*100</f>
        <v>93</v>
      </c>
    </row>
    <row r="479" ht="13.5" customHeight="1" spans="1:19">
      <c r="A479" s="4" t="s">
        <v>41</v>
      </c>
      <c r="B479" s="3">
        <v>1073</v>
      </c>
      <c r="C479" s="3">
        <v>6256</v>
      </c>
      <c r="D479" s="3">
        <v>0.1</v>
      </c>
      <c r="E479" s="4" t="s">
        <v>52</v>
      </c>
      <c r="F479" s="4" t="s">
        <v>80</v>
      </c>
      <c r="G479" s="4" t="s">
        <v>59</v>
      </c>
      <c r="H479" s="4" t="s">
        <v>25</v>
      </c>
      <c r="I479" s="4" t="s">
        <v>26</v>
      </c>
      <c r="J479" s="3">
        <v>2</v>
      </c>
      <c r="K479" s="3">
        <v>25</v>
      </c>
      <c r="L479" s="3">
        <v>13</v>
      </c>
      <c r="M479" s="3">
        <v>0</v>
      </c>
      <c r="N479" s="3">
        <v>3</v>
      </c>
      <c r="O479" s="3">
        <v>9</v>
      </c>
      <c r="P479" s="3">
        <f t="shared" si="0"/>
        <v>0</v>
      </c>
      <c r="Q479" s="3">
        <f t="shared" si="1"/>
        <v>59.0909090909091</v>
      </c>
      <c r="R479" s="3">
        <f t="shared" si="2"/>
        <v>40.9090909090909</v>
      </c>
      <c r="S479" s="11"/>
    </row>
    <row r="480" ht="13.5" customHeight="1" spans="1:19">
      <c r="A480" s="4" t="s">
        <v>41</v>
      </c>
      <c r="B480" s="3">
        <v>1073</v>
      </c>
      <c r="C480" s="3">
        <v>6256</v>
      </c>
      <c r="D480" s="3">
        <v>0.1</v>
      </c>
      <c r="E480" s="4" t="s">
        <v>52</v>
      </c>
      <c r="F480" s="4" t="s">
        <v>80</v>
      </c>
      <c r="G480" s="4" t="s">
        <v>59</v>
      </c>
      <c r="H480" s="4" t="s">
        <v>25</v>
      </c>
      <c r="I480" s="4" t="s">
        <v>26</v>
      </c>
      <c r="J480" s="3">
        <v>3</v>
      </c>
      <c r="K480" s="3">
        <v>25</v>
      </c>
      <c r="L480" s="3">
        <v>13</v>
      </c>
      <c r="M480" s="3">
        <v>0</v>
      </c>
      <c r="N480" s="3">
        <v>2</v>
      </c>
      <c r="O480" s="3">
        <v>10</v>
      </c>
      <c r="P480" s="3">
        <f t="shared" si="0"/>
        <v>0</v>
      </c>
      <c r="Q480" s="3">
        <f t="shared" si="1"/>
        <v>56.5217391304348</v>
      </c>
      <c r="R480" s="3">
        <f t="shared" si="2"/>
        <v>43.4782608695652</v>
      </c>
      <c r="S480" s="11"/>
    </row>
    <row r="481" ht="13.5" customHeight="1" spans="1:19">
      <c r="A481" s="4" t="s">
        <v>41</v>
      </c>
      <c r="B481" s="3">
        <v>1073</v>
      </c>
      <c r="C481" s="3">
        <v>6256</v>
      </c>
      <c r="D481" s="3">
        <v>0.1</v>
      </c>
      <c r="E481" s="4" t="s">
        <v>52</v>
      </c>
      <c r="F481" s="4" t="s">
        <v>80</v>
      </c>
      <c r="G481" s="4" t="s">
        <v>59</v>
      </c>
      <c r="H481" s="4" t="s">
        <v>25</v>
      </c>
      <c r="I481" s="4" t="s">
        <v>26</v>
      </c>
      <c r="J481" s="3">
        <v>4</v>
      </c>
      <c r="K481" s="3">
        <v>25</v>
      </c>
      <c r="L481" s="3">
        <v>14</v>
      </c>
      <c r="M481" s="3">
        <v>1</v>
      </c>
      <c r="N481" s="3">
        <v>1</v>
      </c>
      <c r="O481" s="3">
        <v>9</v>
      </c>
      <c r="P481" s="3">
        <f t="shared" si="0"/>
        <v>0</v>
      </c>
      <c r="Q481" s="3">
        <f t="shared" si="1"/>
        <v>58.3333333333333</v>
      </c>
      <c r="R481" s="3">
        <f t="shared" si="2"/>
        <v>37.5</v>
      </c>
      <c r="S481" s="11"/>
    </row>
    <row r="482" ht="13.5" customHeight="1" spans="1:21">
      <c r="A482" s="4" t="s">
        <v>46</v>
      </c>
      <c r="B482" s="3">
        <v>1270</v>
      </c>
      <c r="C482" s="3">
        <v>8757</v>
      </c>
      <c r="D482" s="3">
        <v>0.1</v>
      </c>
      <c r="E482" s="4" t="s">
        <v>52</v>
      </c>
      <c r="F482" s="4" t="s">
        <v>80</v>
      </c>
      <c r="G482" s="4" t="s">
        <v>81</v>
      </c>
      <c r="H482" s="4" t="s">
        <v>40</v>
      </c>
      <c r="I482" s="4" t="s">
        <v>26</v>
      </c>
      <c r="J482" s="3">
        <v>1</v>
      </c>
      <c r="K482" s="3">
        <v>25</v>
      </c>
      <c r="L482" s="3">
        <v>16</v>
      </c>
      <c r="M482" s="3">
        <v>1</v>
      </c>
      <c r="N482" s="3">
        <v>0</v>
      </c>
      <c r="O482" s="3">
        <v>8</v>
      </c>
      <c r="P482" s="3">
        <f t="shared" si="0"/>
        <v>0</v>
      </c>
      <c r="Q482" s="3">
        <f t="shared" si="1"/>
        <v>64</v>
      </c>
      <c r="R482" s="3">
        <f t="shared" si="2"/>
        <v>32</v>
      </c>
      <c r="S482" s="11">
        <f>AVERAGE(Q482:Q485)</f>
        <v>67</v>
      </c>
      <c r="T482" s="7">
        <f>AVERAGE(R482:R485)</f>
        <v>29</v>
      </c>
      <c r="U482" s="8">
        <f>(L482+L483+L484+L485+O482+O483+O484+O485)/(K482+K483+K484+K485)*100</f>
        <v>96</v>
      </c>
    </row>
    <row r="483" ht="13.5" customHeight="1" spans="1:19">
      <c r="A483" s="4" t="s">
        <v>46</v>
      </c>
      <c r="B483" s="3">
        <v>1270</v>
      </c>
      <c r="C483" s="3">
        <v>8757</v>
      </c>
      <c r="D483" s="3">
        <v>0.1</v>
      </c>
      <c r="E483" s="4" t="s">
        <v>52</v>
      </c>
      <c r="F483" s="4" t="s">
        <v>80</v>
      </c>
      <c r="G483" s="4" t="s">
        <v>81</v>
      </c>
      <c r="H483" s="4" t="s">
        <v>40</v>
      </c>
      <c r="I483" s="4" t="s">
        <v>26</v>
      </c>
      <c r="J483" s="3">
        <v>2</v>
      </c>
      <c r="K483" s="3">
        <v>25</v>
      </c>
      <c r="L483" s="3">
        <v>15</v>
      </c>
      <c r="M483" s="3">
        <v>1</v>
      </c>
      <c r="N483" s="3">
        <v>0</v>
      </c>
      <c r="O483" s="3">
        <v>9</v>
      </c>
      <c r="P483" s="3">
        <f t="shared" si="0"/>
        <v>0</v>
      </c>
      <c r="Q483" s="3">
        <f t="shared" si="1"/>
        <v>60</v>
      </c>
      <c r="R483" s="3">
        <f t="shared" si="2"/>
        <v>36</v>
      </c>
      <c r="S483" s="11"/>
    </row>
    <row r="484" ht="13.5" customHeight="1" spans="1:19">
      <c r="A484" s="4" t="s">
        <v>46</v>
      </c>
      <c r="B484" s="3">
        <v>1270</v>
      </c>
      <c r="C484" s="3">
        <v>8757</v>
      </c>
      <c r="D484" s="3">
        <v>0.1</v>
      </c>
      <c r="E484" s="4" t="s">
        <v>52</v>
      </c>
      <c r="F484" s="4" t="s">
        <v>80</v>
      </c>
      <c r="G484" s="4" t="s">
        <v>81</v>
      </c>
      <c r="H484" s="4" t="s">
        <v>40</v>
      </c>
      <c r="I484" s="4" t="s">
        <v>26</v>
      </c>
      <c r="J484" s="3">
        <v>3</v>
      </c>
      <c r="K484" s="3">
        <v>25</v>
      </c>
      <c r="L484" s="3">
        <v>17</v>
      </c>
      <c r="M484" s="3">
        <v>1</v>
      </c>
      <c r="N484" s="3">
        <v>0</v>
      </c>
      <c r="O484" s="3">
        <v>7</v>
      </c>
      <c r="P484" s="3">
        <f t="shared" si="0"/>
        <v>0</v>
      </c>
      <c r="Q484" s="3">
        <f t="shared" si="1"/>
        <v>68</v>
      </c>
      <c r="R484" s="3">
        <f t="shared" si="2"/>
        <v>28</v>
      </c>
      <c r="S484" s="11"/>
    </row>
    <row r="485" ht="13.5" customHeight="1" spans="1:19">
      <c r="A485" s="4" t="s">
        <v>46</v>
      </c>
      <c r="B485" s="3">
        <v>1270</v>
      </c>
      <c r="C485" s="3">
        <v>8757</v>
      </c>
      <c r="D485" s="3">
        <v>0.1</v>
      </c>
      <c r="E485" s="4" t="s">
        <v>52</v>
      </c>
      <c r="F485" s="4" t="s">
        <v>80</v>
      </c>
      <c r="G485" s="4" t="s">
        <v>81</v>
      </c>
      <c r="H485" s="4" t="s">
        <v>40</v>
      </c>
      <c r="I485" s="4" t="s">
        <v>26</v>
      </c>
      <c r="J485" s="3">
        <v>4</v>
      </c>
      <c r="K485" s="3">
        <v>25</v>
      </c>
      <c r="L485" s="3">
        <v>19</v>
      </c>
      <c r="M485" s="3">
        <v>1</v>
      </c>
      <c r="N485" s="3">
        <v>0</v>
      </c>
      <c r="O485" s="3">
        <v>5</v>
      </c>
      <c r="P485" s="3">
        <f t="shared" si="0"/>
        <v>0</v>
      </c>
      <c r="Q485" s="3">
        <f t="shared" si="1"/>
        <v>76</v>
      </c>
      <c r="R485" s="3">
        <f t="shared" si="2"/>
        <v>20</v>
      </c>
      <c r="S485" s="11"/>
    </row>
    <row r="486" ht="13.5" customHeight="1" spans="1:21">
      <c r="A486" s="4" t="s">
        <v>41</v>
      </c>
      <c r="B486" s="3">
        <v>1073</v>
      </c>
      <c r="C486" s="3">
        <v>6256</v>
      </c>
      <c r="D486" s="3">
        <v>0.1</v>
      </c>
      <c r="E486" s="4" t="s">
        <v>28</v>
      </c>
      <c r="F486" s="4" t="s">
        <v>150</v>
      </c>
      <c r="G486" s="4" t="s">
        <v>100</v>
      </c>
      <c r="H486" s="4" t="s">
        <v>25</v>
      </c>
      <c r="I486" s="4" t="s">
        <v>26</v>
      </c>
      <c r="J486" s="3">
        <v>1</v>
      </c>
      <c r="K486" s="3">
        <v>25</v>
      </c>
      <c r="L486" s="3">
        <v>6</v>
      </c>
      <c r="M486" s="3">
        <v>3</v>
      </c>
      <c r="N486" s="3">
        <v>3</v>
      </c>
      <c r="O486" s="3">
        <v>13</v>
      </c>
      <c r="P486" s="3">
        <f t="shared" si="0"/>
        <v>0</v>
      </c>
      <c r="Q486" s="3">
        <f t="shared" si="1"/>
        <v>27.2727272727273</v>
      </c>
      <c r="R486" s="3">
        <f t="shared" si="2"/>
        <v>59.0909090909091</v>
      </c>
      <c r="S486" s="11">
        <f>AVERAGE(Q486:Q489)</f>
        <v>19.8528138528139</v>
      </c>
      <c r="T486" s="7">
        <f>AVERAGE(R486:R489)</f>
        <v>61.2662337662338</v>
      </c>
      <c r="U486" s="8">
        <f>(L486+L487+L488+L489+O486+O487+O488+O489)/(K486+K487+K488+K489)*100</f>
        <v>73</v>
      </c>
    </row>
    <row r="487" ht="13.5" customHeight="1" spans="1:19">
      <c r="A487" s="4" t="s">
        <v>41</v>
      </c>
      <c r="B487" s="3">
        <v>1073</v>
      </c>
      <c r="C487" s="3">
        <v>6256</v>
      </c>
      <c r="D487" s="3">
        <v>0.1</v>
      </c>
      <c r="E487" s="4" t="s">
        <v>28</v>
      </c>
      <c r="F487" s="4" t="s">
        <v>150</v>
      </c>
      <c r="G487" s="4" t="s">
        <v>100</v>
      </c>
      <c r="H487" s="4" t="s">
        <v>25</v>
      </c>
      <c r="I487" s="4" t="s">
        <v>26</v>
      </c>
      <c r="J487" s="3">
        <v>2</v>
      </c>
      <c r="K487" s="3">
        <v>25</v>
      </c>
      <c r="L487" s="3">
        <v>4</v>
      </c>
      <c r="M487" s="3">
        <v>2</v>
      </c>
      <c r="N487" s="3">
        <v>4</v>
      </c>
      <c r="O487" s="3">
        <v>15</v>
      </c>
      <c r="P487" s="3">
        <f t="shared" si="0"/>
        <v>0</v>
      </c>
      <c r="Q487" s="3">
        <f t="shared" si="1"/>
        <v>19.047619047619</v>
      </c>
      <c r="R487" s="3">
        <f t="shared" si="2"/>
        <v>71.4285714285714</v>
      </c>
      <c r="S487" s="11"/>
    </row>
    <row r="488" ht="13.5" customHeight="1" spans="1:19">
      <c r="A488" s="4" t="s">
        <v>41</v>
      </c>
      <c r="B488" s="3">
        <v>1073</v>
      </c>
      <c r="C488" s="3">
        <v>6256</v>
      </c>
      <c r="D488" s="3">
        <v>0.1</v>
      </c>
      <c r="E488" s="4" t="s">
        <v>28</v>
      </c>
      <c r="F488" s="4" t="s">
        <v>150</v>
      </c>
      <c r="G488" s="4" t="s">
        <v>100</v>
      </c>
      <c r="H488" s="4" t="s">
        <v>25</v>
      </c>
      <c r="I488" s="4" t="s">
        <v>26</v>
      </c>
      <c r="J488" s="3">
        <v>3</v>
      </c>
      <c r="K488" s="3">
        <v>25</v>
      </c>
      <c r="L488" s="3">
        <v>2</v>
      </c>
      <c r="M488" s="3">
        <v>8</v>
      </c>
      <c r="N488" s="3">
        <v>3</v>
      </c>
      <c r="O488" s="3">
        <v>12</v>
      </c>
      <c r="P488" s="3">
        <f t="shared" si="0"/>
        <v>0</v>
      </c>
      <c r="Q488" s="3">
        <f t="shared" si="1"/>
        <v>9.09090909090909</v>
      </c>
      <c r="R488" s="3">
        <f t="shared" si="2"/>
        <v>54.5454545454545</v>
      </c>
      <c r="S488" s="11"/>
    </row>
    <row r="489" ht="13.5" customHeight="1" spans="1:19">
      <c r="A489" s="4" t="s">
        <v>41</v>
      </c>
      <c r="B489" s="3">
        <v>1073</v>
      </c>
      <c r="C489" s="3">
        <v>6256</v>
      </c>
      <c r="D489" s="3">
        <v>0.1</v>
      </c>
      <c r="E489" s="4" t="s">
        <v>28</v>
      </c>
      <c r="F489" s="4" t="s">
        <v>150</v>
      </c>
      <c r="G489" s="4" t="s">
        <v>100</v>
      </c>
      <c r="H489" s="4" t="s">
        <v>25</v>
      </c>
      <c r="I489" s="4" t="s">
        <v>26</v>
      </c>
      <c r="J489" s="3">
        <v>4</v>
      </c>
      <c r="K489" s="3">
        <v>25</v>
      </c>
      <c r="L489" s="3">
        <v>6</v>
      </c>
      <c r="M489" s="3">
        <v>4</v>
      </c>
      <c r="N489" s="3">
        <v>0</v>
      </c>
      <c r="O489" s="3">
        <v>15</v>
      </c>
      <c r="P489" s="3">
        <f t="shared" si="0"/>
        <v>0</v>
      </c>
      <c r="Q489" s="3">
        <f t="shared" si="1"/>
        <v>24</v>
      </c>
      <c r="R489" s="3">
        <f t="shared" si="2"/>
        <v>60</v>
      </c>
      <c r="S489" s="11"/>
    </row>
    <row r="490" ht="13.5" customHeight="1" spans="1:21">
      <c r="A490" s="4" t="s">
        <v>46</v>
      </c>
      <c r="B490" s="3">
        <v>1270</v>
      </c>
      <c r="C490" s="3">
        <v>8757</v>
      </c>
      <c r="D490" s="3">
        <v>0.1</v>
      </c>
      <c r="E490" s="4" t="s">
        <v>28</v>
      </c>
      <c r="F490" s="4" t="s">
        <v>151</v>
      </c>
      <c r="G490" s="4" t="s">
        <v>100</v>
      </c>
      <c r="H490" s="4" t="s">
        <v>25</v>
      </c>
      <c r="I490" s="4" t="s">
        <v>26</v>
      </c>
      <c r="J490" s="3">
        <v>1</v>
      </c>
      <c r="K490" s="3">
        <v>25</v>
      </c>
      <c r="L490" s="3">
        <v>0</v>
      </c>
      <c r="M490" s="3">
        <v>0</v>
      </c>
      <c r="N490" s="3">
        <v>8</v>
      </c>
      <c r="O490" s="3">
        <v>17</v>
      </c>
      <c r="P490" s="3">
        <f t="shared" si="0"/>
        <v>0</v>
      </c>
      <c r="Q490" s="3">
        <f t="shared" si="1"/>
        <v>0</v>
      </c>
      <c r="R490" s="3">
        <f t="shared" si="2"/>
        <v>100</v>
      </c>
      <c r="S490" s="11">
        <f>AVERAGE(Q490:Q493)</f>
        <v>8.33333333333333</v>
      </c>
      <c r="T490" s="7">
        <f>AVERAGE(R490:R493)</f>
        <v>91.6666666666667</v>
      </c>
      <c r="U490" s="8">
        <f>(L490+L491+L492+L493+O490+O491+O492+O493)/(K490+K491+K492+K493)*100</f>
        <v>63</v>
      </c>
    </row>
    <row r="491" ht="13.5" customHeight="1" spans="1:19">
      <c r="A491" s="4" t="s">
        <v>46</v>
      </c>
      <c r="B491" s="3">
        <v>1270</v>
      </c>
      <c r="C491" s="3">
        <v>8757</v>
      </c>
      <c r="D491" s="3">
        <v>0.1</v>
      </c>
      <c r="E491" s="4" t="s">
        <v>28</v>
      </c>
      <c r="F491" s="4" t="s">
        <v>151</v>
      </c>
      <c r="G491" s="4" t="s">
        <v>100</v>
      </c>
      <c r="H491" s="4" t="s">
        <v>25</v>
      </c>
      <c r="I491" s="4" t="s">
        <v>26</v>
      </c>
      <c r="J491" s="3">
        <v>2</v>
      </c>
      <c r="K491" s="3">
        <v>25</v>
      </c>
      <c r="L491" s="3">
        <v>0</v>
      </c>
      <c r="M491" s="3">
        <v>0</v>
      </c>
      <c r="N491" s="3">
        <v>11</v>
      </c>
      <c r="O491" s="3">
        <v>14</v>
      </c>
      <c r="P491" s="3">
        <f t="shared" si="0"/>
        <v>0</v>
      </c>
      <c r="Q491" s="3">
        <f t="shared" si="1"/>
        <v>0</v>
      </c>
      <c r="R491" s="3">
        <f t="shared" si="2"/>
        <v>100</v>
      </c>
      <c r="S491" s="11"/>
    </row>
    <row r="492" ht="13.5" customHeight="1" spans="1:19">
      <c r="A492" s="4" t="s">
        <v>46</v>
      </c>
      <c r="B492" s="3">
        <v>1270</v>
      </c>
      <c r="C492" s="3">
        <v>8757</v>
      </c>
      <c r="D492" s="3">
        <v>0.1</v>
      </c>
      <c r="E492" s="4" t="s">
        <v>28</v>
      </c>
      <c r="F492" s="4" t="s">
        <v>151</v>
      </c>
      <c r="G492" s="4" t="s">
        <v>100</v>
      </c>
      <c r="H492" s="4" t="s">
        <v>25</v>
      </c>
      <c r="I492" s="4" t="s">
        <v>26</v>
      </c>
      <c r="J492" s="3">
        <v>3</v>
      </c>
      <c r="K492" s="3">
        <v>25</v>
      </c>
      <c r="L492" s="3">
        <v>0</v>
      </c>
      <c r="M492" s="3">
        <v>0</v>
      </c>
      <c r="N492" s="3">
        <v>5</v>
      </c>
      <c r="O492" s="3">
        <v>20</v>
      </c>
      <c r="P492" s="3">
        <f t="shared" si="0"/>
        <v>0</v>
      </c>
      <c r="Q492" s="3">
        <f t="shared" si="1"/>
        <v>0</v>
      </c>
      <c r="R492" s="3">
        <f t="shared" si="2"/>
        <v>100</v>
      </c>
      <c r="S492" s="11"/>
    </row>
    <row r="493" ht="13.5" customHeight="1" spans="1:19">
      <c r="A493" s="4" t="s">
        <v>46</v>
      </c>
      <c r="B493" s="3">
        <v>1270</v>
      </c>
      <c r="C493" s="3">
        <v>8757</v>
      </c>
      <c r="D493" s="3">
        <v>0.1</v>
      </c>
      <c r="E493" s="4" t="s">
        <v>28</v>
      </c>
      <c r="F493" s="4" t="s">
        <v>151</v>
      </c>
      <c r="G493" s="4" t="s">
        <v>100</v>
      </c>
      <c r="H493" s="4" t="s">
        <v>25</v>
      </c>
      <c r="I493" s="4" t="s">
        <v>26</v>
      </c>
      <c r="J493" s="3">
        <v>4</v>
      </c>
      <c r="K493" s="3">
        <v>25</v>
      </c>
      <c r="L493" s="3">
        <v>4</v>
      </c>
      <c r="M493" s="3">
        <v>0</v>
      </c>
      <c r="N493" s="3">
        <v>13</v>
      </c>
      <c r="O493" s="3">
        <v>8</v>
      </c>
      <c r="P493" s="3">
        <f t="shared" si="0"/>
        <v>0</v>
      </c>
      <c r="Q493" s="3">
        <f t="shared" si="1"/>
        <v>33.3333333333333</v>
      </c>
      <c r="R493" s="3">
        <f t="shared" si="2"/>
        <v>66.6666666666667</v>
      </c>
      <c r="S493" s="11"/>
    </row>
    <row r="494" ht="13.5" customHeight="1" spans="1:21">
      <c r="A494" s="4" t="s">
        <v>77</v>
      </c>
      <c r="B494" s="3">
        <v>1746</v>
      </c>
      <c r="C494" s="3">
        <v>10331</v>
      </c>
      <c r="D494" s="3">
        <v>4</v>
      </c>
      <c r="E494" s="4" t="s">
        <v>22</v>
      </c>
      <c r="F494" s="4" t="s">
        <v>23</v>
      </c>
      <c r="G494" s="4" t="s">
        <v>24</v>
      </c>
      <c r="H494" s="4" t="s">
        <v>25</v>
      </c>
      <c r="I494" s="4" t="s">
        <v>26</v>
      </c>
      <c r="J494" s="3">
        <v>1</v>
      </c>
      <c r="K494" s="3">
        <v>25</v>
      </c>
      <c r="L494" s="3">
        <v>21</v>
      </c>
      <c r="M494" s="3">
        <v>0</v>
      </c>
      <c r="N494" s="3">
        <v>4</v>
      </c>
      <c r="O494" s="3">
        <v>0</v>
      </c>
      <c r="P494" s="3">
        <f t="shared" si="0"/>
        <v>0</v>
      </c>
      <c r="Q494" s="3">
        <f t="shared" si="1"/>
        <v>100</v>
      </c>
      <c r="R494" s="3">
        <f t="shared" si="2"/>
        <v>0</v>
      </c>
      <c r="S494" s="11">
        <f>AVERAGE(Q494:Q497)</f>
        <v>92.8260869565217</v>
      </c>
      <c r="T494" s="7">
        <f>AVERAGE(R494:R497)</f>
        <v>3.08695652173913</v>
      </c>
      <c r="U494" s="8">
        <f>(L494+L495+L496+L497+O494+O495+O496+O497)/(K494+K495+K496+K497)*100</f>
        <v>86</v>
      </c>
    </row>
    <row r="495" ht="13.5" customHeight="1" spans="1:19">
      <c r="A495" s="4" t="s">
        <v>77</v>
      </c>
      <c r="B495" s="3">
        <v>1746</v>
      </c>
      <c r="C495" s="3">
        <v>10331</v>
      </c>
      <c r="D495" s="3">
        <v>4</v>
      </c>
      <c r="E495" s="4" t="s">
        <v>22</v>
      </c>
      <c r="F495" s="4" t="s">
        <v>23</v>
      </c>
      <c r="G495" s="4" t="s">
        <v>24</v>
      </c>
      <c r="H495" s="4" t="s">
        <v>25</v>
      </c>
      <c r="I495" s="4" t="s">
        <v>26</v>
      </c>
      <c r="J495" s="3">
        <v>2</v>
      </c>
      <c r="K495" s="3">
        <v>25</v>
      </c>
      <c r="L495" s="3">
        <v>21</v>
      </c>
      <c r="M495" s="3">
        <v>1</v>
      </c>
      <c r="N495" s="3">
        <v>2</v>
      </c>
      <c r="O495" s="3">
        <v>1</v>
      </c>
      <c r="P495" s="3">
        <f t="shared" si="0"/>
        <v>0</v>
      </c>
      <c r="Q495" s="3">
        <f t="shared" si="1"/>
        <v>91.304347826087</v>
      </c>
      <c r="R495" s="3">
        <f t="shared" si="2"/>
        <v>4.34782608695652</v>
      </c>
      <c r="S495" s="11"/>
    </row>
    <row r="496" ht="13.5" customHeight="1" spans="1:19">
      <c r="A496" s="4" t="s">
        <v>77</v>
      </c>
      <c r="B496" s="3">
        <v>1746</v>
      </c>
      <c r="C496" s="3">
        <v>10331</v>
      </c>
      <c r="D496" s="3">
        <v>4</v>
      </c>
      <c r="E496" s="4" t="s">
        <v>22</v>
      </c>
      <c r="F496" s="4" t="s">
        <v>23</v>
      </c>
      <c r="G496" s="4" t="s">
        <v>24</v>
      </c>
      <c r="H496" s="4" t="s">
        <v>25</v>
      </c>
      <c r="I496" s="4" t="s">
        <v>26</v>
      </c>
      <c r="J496" s="3">
        <v>3</v>
      </c>
      <c r="K496" s="3">
        <v>25</v>
      </c>
      <c r="L496" s="3">
        <v>21</v>
      </c>
      <c r="M496" s="3">
        <v>0</v>
      </c>
      <c r="N496" s="3">
        <v>4</v>
      </c>
      <c r="O496" s="3">
        <v>0</v>
      </c>
      <c r="P496" s="3">
        <f t="shared" si="0"/>
        <v>0</v>
      </c>
      <c r="Q496" s="3">
        <f t="shared" si="1"/>
        <v>100</v>
      </c>
      <c r="R496" s="3">
        <f t="shared" si="2"/>
        <v>0</v>
      </c>
      <c r="S496" s="11"/>
    </row>
    <row r="497" ht="13.5" customHeight="1" spans="1:19">
      <c r="A497" s="4" t="s">
        <v>77</v>
      </c>
      <c r="B497" s="3">
        <v>1746</v>
      </c>
      <c r="C497" s="3">
        <v>10331</v>
      </c>
      <c r="D497" s="3">
        <v>4</v>
      </c>
      <c r="E497" s="4" t="s">
        <v>22</v>
      </c>
      <c r="F497" s="4" t="s">
        <v>23</v>
      </c>
      <c r="G497" s="4" t="s">
        <v>24</v>
      </c>
      <c r="H497" s="4" t="s">
        <v>25</v>
      </c>
      <c r="I497" s="4" t="s">
        <v>26</v>
      </c>
      <c r="J497" s="3">
        <v>4</v>
      </c>
      <c r="K497" s="3">
        <v>25</v>
      </c>
      <c r="L497" s="3">
        <v>20</v>
      </c>
      <c r="M497" s="3">
        <v>3</v>
      </c>
      <c r="N497" s="3">
        <v>0</v>
      </c>
      <c r="O497" s="3">
        <v>2</v>
      </c>
      <c r="P497" s="3">
        <f t="shared" si="0"/>
        <v>0</v>
      </c>
      <c r="Q497" s="3">
        <f t="shared" si="1"/>
        <v>80</v>
      </c>
      <c r="R497" s="3">
        <f t="shared" si="2"/>
        <v>8</v>
      </c>
      <c r="S497" s="11"/>
    </row>
    <row r="498" ht="13.5" customHeight="1" spans="1:21">
      <c r="A498" s="4" t="s">
        <v>36</v>
      </c>
      <c r="B498" s="3">
        <v>1294</v>
      </c>
      <c r="C498" s="3">
        <v>8842</v>
      </c>
      <c r="D498" s="3">
        <v>0.1</v>
      </c>
      <c r="E498" s="4" t="s">
        <v>52</v>
      </c>
      <c r="F498" s="4" t="s">
        <v>101</v>
      </c>
      <c r="G498" s="3" t="s">
        <v>102</v>
      </c>
      <c r="H498" s="4" t="s">
        <v>40</v>
      </c>
      <c r="I498" s="4" t="s">
        <v>26</v>
      </c>
      <c r="J498" s="3">
        <v>1</v>
      </c>
      <c r="K498" s="3">
        <v>25</v>
      </c>
      <c r="L498" s="3">
        <v>12</v>
      </c>
      <c r="M498" s="3">
        <v>8</v>
      </c>
      <c r="N498" s="3">
        <v>5</v>
      </c>
      <c r="O498" s="3">
        <v>0</v>
      </c>
      <c r="P498" s="3">
        <f t="shared" si="0"/>
        <v>0</v>
      </c>
      <c r="Q498" s="3">
        <f t="shared" si="1"/>
        <v>60</v>
      </c>
      <c r="R498" s="3">
        <f t="shared" si="2"/>
        <v>0</v>
      </c>
      <c r="S498" s="11">
        <f>AVERAGE(Q498:Q501)</f>
        <v>78.5119047619048</v>
      </c>
      <c r="T498" s="7">
        <f>AVERAGE(R498:R501)</f>
        <v>0</v>
      </c>
      <c r="U498" s="8">
        <f>(L498+L499+L500+L501+O498+O499+O500+O501)/(K498+K499+K500+K501)*100</f>
        <v>62</v>
      </c>
    </row>
    <row r="499" ht="13.5" customHeight="1" spans="1:19">
      <c r="A499" s="4" t="s">
        <v>36</v>
      </c>
      <c r="B499" s="3">
        <v>1294</v>
      </c>
      <c r="C499" s="3">
        <v>8842</v>
      </c>
      <c r="D499" s="3">
        <v>0.1</v>
      </c>
      <c r="E499" s="4" t="s">
        <v>52</v>
      </c>
      <c r="F499" s="4" t="s">
        <v>101</v>
      </c>
      <c r="G499" s="3" t="s">
        <v>102</v>
      </c>
      <c r="H499" s="4" t="s">
        <v>40</v>
      </c>
      <c r="I499" s="4" t="s">
        <v>26</v>
      </c>
      <c r="J499" s="3">
        <v>2</v>
      </c>
      <c r="K499" s="3">
        <v>25</v>
      </c>
      <c r="L499" s="3">
        <v>18</v>
      </c>
      <c r="M499" s="3">
        <v>3</v>
      </c>
      <c r="N499" s="3">
        <v>4</v>
      </c>
      <c r="O499" s="3">
        <v>0</v>
      </c>
      <c r="P499" s="3">
        <f t="shared" si="0"/>
        <v>0</v>
      </c>
      <c r="Q499" s="3">
        <f t="shared" si="1"/>
        <v>85.7142857142857</v>
      </c>
      <c r="R499" s="3">
        <f t="shared" si="2"/>
        <v>0</v>
      </c>
      <c r="S499" s="11"/>
    </row>
    <row r="500" ht="13.5" customHeight="1" spans="1:19">
      <c r="A500" s="4" t="s">
        <v>36</v>
      </c>
      <c r="B500" s="3">
        <v>1294</v>
      </c>
      <c r="C500" s="3">
        <v>8842</v>
      </c>
      <c r="D500" s="3">
        <v>0.1</v>
      </c>
      <c r="E500" s="4" t="s">
        <v>52</v>
      </c>
      <c r="F500" s="4" t="s">
        <v>101</v>
      </c>
      <c r="G500" s="3" t="s">
        <v>102</v>
      </c>
      <c r="H500" s="4" t="s">
        <v>40</v>
      </c>
      <c r="I500" s="4" t="s">
        <v>26</v>
      </c>
      <c r="J500" s="3">
        <v>3</v>
      </c>
      <c r="K500" s="3">
        <v>25</v>
      </c>
      <c r="L500" s="3">
        <v>15</v>
      </c>
      <c r="M500" s="3">
        <v>3</v>
      </c>
      <c r="N500" s="3">
        <v>7</v>
      </c>
      <c r="O500" s="3">
        <v>0</v>
      </c>
      <c r="P500" s="3">
        <f t="shared" si="0"/>
        <v>0</v>
      </c>
      <c r="Q500" s="3">
        <f t="shared" si="1"/>
        <v>83.3333333333333</v>
      </c>
      <c r="R500" s="3">
        <f t="shared" si="2"/>
        <v>0</v>
      </c>
      <c r="S500" s="11"/>
    </row>
    <row r="501" ht="13.5" customHeight="1" spans="1:19">
      <c r="A501" s="4" t="s">
        <v>36</v>
      </c>
      <c r="B501" s="3">
        <v>1294</v>
      </c>
      <c r="C501" s="3">
        <v>8842</v>
      </c>
      <c r="D501" s="3">
        <v>0.1</v>
      </c>
      <c r="E501" s="4" t="s">
        <v>52</v>
      </c>
      <c r="F501" s="4" t="s">
        <v>101</v>
      </c>
      <c r="G501" s="3" t="s">
        <v>102</v>
      </c>
      <c r="H501" s="4" t="s">
        <v>40</v>
      </c>
      <c r="I501" s="4" t="s">
        <v>26</v>
      </c>
      <c r="J501" s="3">
        <v>4</v>
      </c>
      <c r="K501" s="3">
        <v>25</v>
      </c>
      <c r="L501" s="3">
        <v>17</v>
      </c>
      <c r="M501" s="3">
        <v>3</v>
      </c>
      <c r="N501" s="3">
        <v>5</v>
      </c>
      <c r="O501" s="3">
        <v>0</v>
      </c>
      <c r="P501" s="3">
        <f t="shared" si="0"/>
        <v>0</v>
      </c>
      <c r="Q501" s="3">
        <f t="shared" si="1"/>
        <v>85</v>
      </c>
      <c r="R501" s="3">
        <f t="shared" si="2"/>
        <v>0</v>
      </c>
      <c r="S501" s="11"/>
    </row>
    <row r="502" ht="13.5" customHeight="1" spans="1:21">
      <c r="A502" s="4" t="s">
        <v>77</v>
      </c>
      <c r="B502" s="3">
        <v>1746</v>
      </c>
      <c r="C502" s="3">
        <v>10331</v>
      </c>
      <c r="D502" s="3">
        <v>4</v>
      </c>
      <c r="E502" s="4" t="s">
        <v>22</v>
      </c>
      <c r="F502" s="4" t="s">
        <v>23</v>
      </c>
      <c r="G502" s="4" t="s">
        <v>24</v>
      </c>
      <c r="H502" s="4" t="s">
        <v>25</v>
      </c>
      <c r="I502" s="4" t="s">
        <v>26</v>
      </c>
      <c r="J502" s="3">
        <v>1</v>
      </c>
      <c r="K502" s="3">
        <v>25</v>
      </c>
      <c r="L502" s="3">
        <v>23</v>
      </c>
      <c r="M502" s="3">
        <v>2</v>
      </c>
      <c r="N502" s="3">
        <v>0</v>
      </c>
      <c r="O502" s="3">
        <v>0</v>
      </c>
      <c r="P502" s="3">
        <f t="shared" si="0"/>
        <v>0</v>
      </c>
      <c r="Q502" s="3">
        <f t="shared" si="1"/>
        <v>92</v>
      </c>
      <c r="R502" s="3">
        <f t="shared" si="2"/>
        <v>0</v>
      </c>
      <c r="S502" s="11">
        <f>AVERAGE(Q502:Q505)</f>
        <v>93.9166666666667</v>
      </c>
      <c r="T502" s="7">
        <f>AVERAGE(R502:R505)</f>
        <v>0</v>
      </c>
      <c r="U502" s="8">
        <f>(L502+L503+L504+L505+O502+O503+O504+O505)/(K502+K503+K504+K505)*100</f>
        <v>93</v>
      </c>
    </row>
    <row r="503" ht="13.5" customHeight="1" spans="1:19">
      <c r="A503" s="4" t="s">
        <v>77</v>
      </c>
      <c r="B503" s="3">
        <v>1746</v>
      </c>
      <c r="C503" s="3">
        <v>10331</v>
      </c>
      <c r="D503" s="3">
        <v>4</v>
      </c>
      <c r="E503" s="4" t="s">
        <v>22</v>
      </c>
      <c r="F503" s="4" t="s">
        <v>23</v>
      </c>
      <c r="G503" s="4" t="s">
        <v>24</v>
      </c>
      <c r="H503" s="4" t="s">
        <v>25</v>
      </c>
      <c r="I503" s="4" t="s">
        <v>26</v>
      </c>
      <c r="J503" s="3">
        <v>2</v>
      </c>
      <c r="K503" s="3">
        <v>25</v>
      </c>
      <c r="L503" s="3">
        <v>24</v>
      </c>
      <c r="M503" s="3">
        <v>1</v>
      </c>
      <c r="N503" s="3">
        <v>0</v>
      </c>
      <c r="O503" s="3">
        <v>0</v>
      </c>
      <c r="P503" s="3">
        <f t="shared" si="0"/>
        <v>0</v>
      </c>
      <c r="Q503" s="3">
        <f t="shared" si="1"/>
        <v>96</v>
      </c>
      <c r="R503" s="3">
        <f t="shared" si="2"/>
        <v>0</v>
      </c>
      <c r="S503" s="11"/>
    </row>
    <row r="504" ht="13.5" customHeight="1" spans="1:19">
      <c r="A504" s="4" t="s">
        <v>77</v>
      </c>
      <c r="B504" s="3">
        <v>1746</v>
      </c>
      <c r="C504" s="3">
        <v>10331</v>
      </c>
      <c r="D504" s="3">
        <v>4</v>
      </c>
      <c r="E504" s="4" t="s">
        <v>22</v>
      </c>
      <c r="F504" s="4" t="s">
        <v>23</v>
      </c>
      <c r="G504" s="4" t="s">
        <v>24</v>
      </c>
      <c r="H504" s="4" t="s">
        <v>25</v>
      </c>
      <c r="I504" s="4" t="s">
        <v>26</v>
      </c>
      <c r="J504" s="3">
        <v>3</v>
      </c>
      <c r="K504" s="3">
        <v>25</v>
      </c>
      <c r="L504" s="3">
        <v>22</v>
      </c>
      <c r="M504" s="3">
        <v>2</v>
      </c>
      <c r="N504" s="3">
        <v>1</v>
      </c>
      <c r="O504" s="3">
        <v>0</v>
      </c>
      <c r="P504" s="3">
        <f t="shared" si="0"/>
        <v>0</v>
      </c>
      <c r="Q504" s="3">
        <f t="shared" si="1"/>
        <v>91.6666666666667</v>
      </c>
      <c r="R504" s="3">
        <f t="shared" si="2"/>
        <v>0</v>
      </c>
      <c r="S504" s="11"/>
    </row>
    <row r="505" ht="13.5" customHeight="1" spans="1:19">
      <c r="A505" s="4" t="s">
        <v>77</v>
      </c>
      <c r="B505" s="3">
        <v>1746</v>
      </c>
      <c r="C505" s="3">
        <v>10331</v>
      </c>
      <c r="D505" s="3">
        <v>4</v>
      </c>
      <c r="E505" s="4" t="s">
        <v>22</v>
      </c>
      <c r="F505" s="4" t="s">
        <v>23</v>
      </c>
      <c r="G505" s="4" t="s">
        <v>24</v>
      </c>
      <c r="H505" s="4" t="s">
        <v>25</v>
      </c>
      <c r="I505" s="4" t="s">
        <v>26</v>
      </c>
      <c r="J505" s="3">
        <v>4</v>
      </c>
      <c r="K505" s="3">
        <v>25</v>
      </c>
      <c r="L505" s="3">
        <v>24</v>
      </c>
      <c r="M505" s="3">
        <v>1</v>
      </c>
      <c r="N505" s="3">
        <v>0</v>
      </c>
      <c r="O505" s="3">
        <v>0</v>
      </c>
      <c r="P505" s="3">
        <f t="shared" si="0"/>
        <v>0</v>
      </c>
      <c r="Q505" s="3">
        <f t="shared" si="1"/>
        <v>96</v>
      </c>
      <c r="R505" s="3">
        <f t="shared" si="2"/>
        <v>0</v>
      </c>
      <c r="S505" s="11"/>
    </row>
    <row r="506" ht="13.5" customHeight="1" spans="1:21">
      <c r="A506" s="4" t="s">
        <v>60</v>
      </c>
      <c r="B506" s="3">
        <v>1330</v>
      </c>
      <c r="C506" s="3">
        <v>9133</v>
      </c>
      <c r="D506" s="3">
        <v>2</v>
      </c>
      <c r="E506" s="4" t="s">
        <v>22</v>
      </c>
      <c r="F506" s="4" t="s">
        <v>23</v>
      </c>
      <c r="G506" s="4" t="s">
        <v>24</v>
      </c>
      <c r="H506" s="4" t="s">
        <v>25</v>
      </c>
      <c r="I506" s="4" t="s">
        <v>26</v>
      </c>
      <c r="J506" s="3">
        <v>1</v>
      </c>
      <c r="K506" s="3">
        <v>25</v>
      </c>
      <c r="L506" s="3">
        <v>24</v>
      </c>
      <c r="M506" s="3">
        <v>0</v>
      </c>
      <c r="N506" s="3">
        <v>0</v>
      </c>
      <c r="O506" s="3">
        <v>1</v>
      </c>
      <c r="P506" s="3">
        <f t="shared" si="0"/>
        <v>0</v>
      </c>
      <c r="Q506" s="3">
        <f t="shared" si="1"/>
        <v>96</v>
      </c>
      <c r="R506" s="3">
        <f t="shared" si="2"/>
        <v>4</v>
      </c>
      <c r="S506" s="11">
        <f>AVERAGE(Q506:Q509)</f>
        <v>97</v>
      </c>
      <c r="T506" s="7">
        <f>AVERAGE(R506:R509)</f>
        <v>2</v>
      </c>
      <c r="U506" s="8">
        <f>(L506+L507+L508+L509+O506+O507+O508+O509)/(K506+K507+K508+K509)*100</f>
        <v>99</v>
      </c>
    </row>
    <row r="507" ht="13.5" customHeight="1" spans="1:19">
      <c r="A507" s="4" t="s">
        <v>60</v>
      </c>
      <c r="B507" s="3">
        <v>1330</v>
      </c>
      <c r="C507" s="3">
        <v>9133</v>
      </c>
      <c r="D507" s="3">
        <v>2</v>
      </c>
      <c r="E507" s="4" t="s">
        <v>22</v>
      </c>
      <c r="F507" s="4" t="s">
        <v>23</v>
      </c>
      <c r="G507" s="4" t="s">
        <v>24</v>
      </c>
      <c r="H507" s="4" t="s">
        <v>25</v>
      </c>
      <c r="I507" s="4" t="s">
        <v>26</v>
      </c>
      <c r="J507" s="3">
        <v>2</v>
      </c>
      <c r="K507" s="3">
        <v>25</v>
      </c>
      <c r="L507" s="3">
        <v>24</v>
      </c>
      <c r="M507" s="3">
        <v>0</v>
      </c>
      <c r="N507" s="3">
        <v>0</v>
      </c>
      <c r="O507" s="3">
        <v>1</v>
      </c>
      <c r="P507" s="3">
        <f t="shared" si="0"/>
        <v>0</v>
      </c>
      <c r="Q507" s="3">
        <f t="shared" si="1"/>
        <v>96</v>
      </c>
      <c r="R507" s="3">
        <f t="shared" si="2"/>
        <v>4</v>
      </c>
      <c r="S507" s="11"/>
    </row>
    <row r="508" ht="13.5" customHeight="1" spans="1:19">
      <c r="A508" s="4" t="s">
        <v>60</v>
      </c>
      <c r="B508" s="3">
        <v>1330</v>
      </c>
      <c r="C508" s="3">
        <v>9133</v>
      </c>
      <c r="D508" s="3">
        <v>2</v>
      </c>
      <c r="E508" s="4" t="s">
        <v>22</v>
      </c>
      <c r="F508" s="4" t="s">
        <v>23</v>
      </c>
      <c r="G508" s="4" t="s">
        <v>24</v>
      </c>
      <c r="H508" s="4" t="s">
        <v>25</v>
      </c>
      <c r="I508" s="4" t="s">
        <v>26</v>
      </c>
      <c r="J508" s="3">
        <v>3</v>
      </c>
      <c r="K508" s="3">
        <v>25</v>
      </c>
      <c r="L508" s="3">
        <v>24</v>
      </c>
      <c r="M508" s="3">
        <v>1</v>
      </c>
      <c r="N508" s="3">
        <v>0</v>
      </c>
      <c r="O508" s="3">
        <v>0</v>
      </c>
      <c r="P508" s="3">
        <f t="shared" si="0"/>
        <v>0</v>
      </c>
      <c r="Q508" s="3">
        <f t="shared" si="1"/>
        <v>96</v>
      </c>
      <c r="R508" s="3">
        <f t="shared" si="2"/>
        <v>0</v>
      </c>
      <c r="S508" s="11"/>
    </row>
    <row r="509" ht="13.5" customHeight="1" spans="1:19">
      <c r="A509" s="4" t="s">
        <v>60</v>
      </c>
      <c r="B509" s="3">
        <v>1330</v>
      </c>
      <c r="C509" s="3">
        <v>9133</v>
      </c>
      <c r="D509" s="3">
        <v>2</v>
      </c>
      <c r="E509" s="4" t="s">
        <v>22</v>
      </c>
      <c r="F509" s="4" t="s">
        <v>23</v>
      </c>
      <c r="G509" s="4" t="s">
        <v>24</v>
      </c>
      <c r="H509" s="4" t="s">
        <v>25</v>
      </c>
      <c r="I509" s="4" t="s">
        <v>26</v>
      </c>
      <c r="J509" s="3">
        <v>4</v>
      </c>
      <c r="K509" s="3">
        <v>25</v>
      </c>
      <c r="L509" s="3">
        <v>25</v>
      </c>
      <c r="M509" s="3">
        <v>0</v>
      </c>
      <c r="N509" s="3">
        <v>0</v>
      </c>
      <c r="O509" s="3">
        <v>0</v>
      </c>
      <c r="P509" s="3">
        <f t="shared" si="0"/>
        <v>0</v>
      </c>
      <c r="Q509" s="3">
        <f t="shared" si="1"/>
        <v>100</v>
      </c>
      <c r="R509" s="3">
        <f t="shared" si="2"/>
        <v>0</v>
      </c>
      <c r="S509" s="11"/>
    </row>
    <row r="510" ht="13.5" customHeight="1" spans="1:21">
      <c r="A510" s="4" t="s">
        <v>32</v>
      </c>
      <c r="B510" s="3">
        <v>1342</v>
      </c>
      <c r="C510" s="3">
        <v>9074</v>
      </c>
      <c r="D510" s="3">
        <v>3</v>
      </c>
      <c r="E510" s="4" t="s">
        <v>22</v>
      </c>
      <c r="F510" s="4" t="s">
        <v>23</v>
      </c>
      <c r="G510" s="4" t="s">
        <v>24</v>
      </c>
      <c r="H510" s="4" t="s">
        <v>25</v>
      </c>
      <c r="I510" s="4" t="s">
        <v>26</v>
      </c>
      <c r="J510" s="3">
        <v>1</v>
      </c>
      <c r="K510" s="3">
        <v>25</v>
      </c>
      <c r="L510" s="3">
        <v>24</v>
      </c>
      <c r="M510" s="3">
        <v>1</v>
      </c>
      <c r="N510" s="3">
        <v>0</v>
      </c>
      <c r="O510" s="3">
        <v>0</v>
      </c>
      <c r="P510" s="3">
        <f t="shared" si="0"/>
        <v>0</v>
      </c>
      <c r="Q510" s="3">
        <f t="shared" si="1"/>
        <v>96</v>
      </c>
      <c r="R510" s="3">
        <f t="shared" si="2"/>
        <v>0</v>
      </c>
      <c r="S510" s="11">
        <f>AVERAGE(Q510:Q513)</f>
        <v>93.9130434782609</v>
      </c>
      <c r="T510" s="7">
        <f>AVERAGE(R510:R513)</f>
        <v>3.08695652173913</v>
      </c>
      <c r="U510" s="8">
        <f>(L510+L511+L512+L513+O510+O511+O512+O513)/(K510+K511+K512+K513)*100</f>
        <v>95</v>
      </c>
    </row>
    <row r="511" ht="13.5" customHeight="1" spans="1:19">
      <c r="A511" s="4" t="s">
        <v>32</v>
      </c>
      <c r="B511" s="3">
        <v>1342</v>
      </c>
      <c r="C511" s="3">
        <v>9074</v>
      </c>
      <c r="D511" s="3">
        <v>3</v>
      </c>
      <c r="E511" s="4" t="s">
        <v>22</v>
      </c>
      <c r="F511" s="4" t="s">
        <v>23</v>
      </c>
      <c r="G511" s="4" t="s">
        <v>24</v>
      </c>
      <c r="H511" s="4" t="s">
        <v>25</v>
      </c>
      <c r="I511" s="4" t="s">
        <v>26</v>
      </c>
      <c r="J511" s="3">
        <v>2</v>
      </c>
      <c r="K511" s="3">
        <v>25</v>
      </c>
      <c r="L511" s="3">
        <v>22</v>
      </c>
      <c r="M511" s="3">
        <v>2</v>
      </c>
      <c r="N511" s="3">
        <v>0</v>
      </c>
      <c r="O511" s="3">
        <v>1</v>
      </c>
      <c r="P511" s="3">
        <f t="shared" si="0"/>
        <v>0</v>
      </c>
      <c r="Q511" s="3">
        <f t="shared" si="1"/>
        <v>88</v>
      </c>
      <c r="R511" s="3">
        <f t="shared" si="2"/>
        <v>4</v>
      </c>
      <c r="S511" s="11"/>
    </row>
    <row r="512" ht="13.5" customHeight="1" spans="1:19">
      <c r="A512" s="4" t="s">
        <v>32</v>
      </c>
      <c r="B512" s="3">
        <v>1342</v>
      </c>
      <c r="C512" s="3">
        <v>9074</v>
      </c>
      <c r="D512" s="3">
        <v>3</v>
      </c>
      <c r="E512" s="4" t="s">
        <v>22</v>
      </c>
      <c r="F512" s="4" t="s">
        <v>23</v>
      </c>
      <c r="G512" s="4" t="s">
        <v>24</v>
      </c>
      <c r="H512" s="4" t="s">
        <v>25</v>
      </c>
      <c r="I512" s="4" t="s">
        <v>26</v>
      </c>
      <c r="J512" s="3">
        <v>3</v>
      </c>
      <c r="K512" s="3">
        <v>25</v>
      </c>
      <c r="L512" s="3">
        <v>22</v>
      </c>
      <c r="M512" s="3">
        <v>0</v>
      </c>
      <c r="N512" s="3">
        <v>2</v>
      </c>
      <c r="O512" s="3">
        <v>1</v>
      </c>
      <c r="P512" s="3">
        <f t="shared" si="0"/>
        <v>0</v>
      </c>
      <c r="Q512" s="3">
        <f t="shared" si="1"/>
        <v>95.6521739130435</v>
      </c>
      <c r="R512" s="3">
        <f t="shared" si="2"/>
        <v>4.34782608695652</v>
      </c>
      <c r="S512" s="11"/>
    </row>
    <row r="513" ht="13.5" customHeight="1" spans="1:19">
      <c r="A513" s="4" t="s">
        <v>32</v>
      </c>
      <c r="B513" s="3">
        <v>1342</v>
      </c>
      <c r="C513" s="3">
        <v>9074</v>
      </c>
      <c r="D513" s="3">
        <v>3</v>
      </c>
      <c r="E513" s="4" t="s">
        <v>22</v>
      </c>
      <c r="F513" s="4" t="s">
        <v>23</v>
      </c>
      <c r="G513" s="4" t="s">
        <v>24</v>
      </c>
      <c r="H513" s="4" t="s">
        <v>25</v>
      </c>
      <c r="I513" s="4" t="s">
        <v>26</v>
      </c>
      <c r="J513" s="3">
        <v>4</v>
      </c>
      <c r="K513" s="3">
        <v>25</v>
      </c>
      <c r="L513" s="3">
        <v>24</v>
      </c>
      <c r="M513" s="3">
        <v>0</v>
      </c>
      <c r="N513" s="3">
        <v>0</v>
      </c>
      <c r="O513" s="3">
        <v>1</v>
      </c>
      <c r="P513" s="3">
        <f t="shared" si="0"/>
        <v>0</v>
      </c>
      <c r="Q513" s="3">
        <f t="shared" si="1"/>
        <v>96</v>
      </c>
      <c r="R513" s="3">
        <f t="shared" si="2"/>
        <v>4</v>
      </c>
      <c r="S513" s="11"/>
    </row>
    <row r="514" ht="13.5" customHeight="1" spans="1:21">
      <c r="A514" s="4" t="s">
        <v>93</v>
      </c>
      <c r="B514" s="3">
        <v>1661</v>
      </c>
      <c r="C514" s="3">
        <v>10216</v>
      </c>
      <c r="D514" s="3">
        <v>5</v>
      </c>
      <c r="E514" s="4" t="s">
        <v>22</v>
      </c>
      <c r="F514" s="4" t="s">
        <v>23</v>
      </c>
      <c r="G514" s="4" t="s">
        <v>24</v>
      </c>
      <c r="H514" s="4" t="s">
        <v>25</v>
      </c>
      <c r="I514" s="4" t="s">
        <v>26</v>
      </c>
      <c r="J514" s="3">
        <v>1</v>
      </c>
      <c r="K514" s="3">
        <v>25</v>
      </c>
      <c r="L514" s="3">
        <v>24</v>
      </c>
      <c r="M514" s="3">
        <v>0</v>
      </c>
      <c r="N514" s="3">
        <v>0</v>
      </c>
      <c r="O514" s="3">
        <v>1</v>
      </c>
      <c r="P514" s="3">
        <f t="shared" si="0"/>
        <v>0</v>
      </c>
      <c r="Q514" s="3">
        <f t="shared" si="1"/>
        <v>96</v>
      </c>
      <c r="R514" s="3">
        <f t="shared" si="2"/>
        <v>4</v>
      </c>
      <c r="S514" s="11">
        <f>AVERAGE(Q514:Q517)</f>
        <v>91</v>
      </c>
      <c r="T514" s="7">
        <f>AVERAGE(R514:R517)</f>
        <v>9</v>
      </c>
      <c r="U514" s="8">
        <f>(L514+L515+L516+L517+O514+O515+O516+O517)/(K514+K515+K516+K517)*100</f>
        <v>100</v>
      </c>
    </row>
    <row r="515" ht="13.5" customHeight="1" spans="1:19">
      <c r="A515" s="4" t="s">
        <v>93</v>
      </c>
      <c r="B515" s="3">
        <v>1661</v>
      </c>
      <c r="C515" s="3">
        <v>10216</v>
      </c>
      <c r="D515" s="3">
        <v>5</v>
      </c>
      <c r="E515" s="4" t="s">
        <v>22</v>
      </c>
      <c r="F515" s="4" t="s">
        <v>23</v>
      </c>
      <c r="G515" s="4" t="s">
        <v>24</v>
      </c>
      <c r="H515" s="4" t="s">
        <v>25</v>
      </c>
      <c r="I515" s="4" t="s">
        <v>26</v>
      </c>
      <c r="J515" s="3">
        <v>2</v>
      </c>
      <c r="K515" s="3">
        <v>25</v>
      </c>
      <c r="L515" s="3">
        <v>21</v>
      </c>
      <c r="M515" s="3">
        <v>0</v>
      </c>
      <c r="N515" s="3">
        <v>0</v>
      </c>
      <c r="O515" s="3">
        <v>4</v>
      </c>
      <c r="P515" s="3">
        <f t="shared" si="0"/>
        <v>0</v>
      </c>
      <c r="Q515" s="3">
        <f t="shared" si="1"/>
        <v>84</v>
      </c>
      <c r="R515" s="3">
        <f t="shared" si="2"/>
        <v>16</v>
      </c>
      <c r="S515" s="11"/>
    </row>
    <row r="516" ht="13.5" customHeight="1" spans="1:19">
      <c r="A516" s="4" t="s">
        <v>93</v>
      </c>
      <c r="B516" s="3">
        <v>1661</v>
      </c>
      <c r="C516" s="3">
        <v>10216</v>
      </c>
      <c r="D516" s="3">
        <v>5</v>
      </c>
      <c r="E516" s="4" t="s">
        <v>22</v>
      </c>
      <c r="F516" s="4" t="s">
        <v>23</v>
      </c>
      <c r="G516" s="4" t="s">
        <v>24</v>
      </c>
      <c r="H516" s="4" t="s">
        <v>25</v>
      </c>
      <c r="I516" s="4" t="s">
        <v>26</v>
      </c>
      <c r="J516" s="3">
        <v>3</v>
      </c>
      <c r="K516" s="3">
        <v>25</v>
      </c>
      <c r="L516" s="3">
        <v>23</v>
      </c>
      <c r="M516" s="3">
        <v>0</v>
      </c>
      <c r="N516" s="3">
        <v>0</v>
      </c>
      <c r="O516" s="3">
        <v>2</v>
      </c>
      <c r="P516" s="3">
        <f t="shared" si="0"/>
        <v>0</v>
      </c>
      <c r="Q516" s="3">
        <f t="shared" si="1"/>
        <v>92</v>
      </c>
      <c r="R516" s="3">
        <f t="shared" si="2"/>
        <v>8</v>
      </c>
      <c r="S516" s="11"/>
    </row>
    <row r="517" ht="13.5" customHeight="1" spans="1:19">
      <c r="A517" s="4" t="s">
        <v>93</v>
      </c>
      <c r="B517" s="3">
        <v>1661</v>
      </c>
      <c r="C517" s="3">
        <v>10216</v>
      </c>
      <c r="D517" s="3">
        <v>5</v>
      </c>
      <c r="E517" s="4" t="s">
        <v>22</v>
      </c>
      <c r="F517" s="4" t="s">
        <v>23</v>
      </c>
      <c r="G517" s="4" t="s">
        <v>24</v>
      </c>
      <c r="H517" s="4" t="s">
        <v>25</v>
      </c>
      <c r="I517" s="4" t="s">
        <v>26</v>
      </c>
      <c r="J517" s="3">
        <v>4</v>
      </c>
      <c r="K517" s="3">
        <v>25</v>
      </c>
      <c r="L517" s="3">
        <v>23</v>
      </c>
      <c r="M517" s="3">
        <v>0</v>
      </c>
      <c r="N517" s="3">
        <v>0</v>
      </c>
      <c r="O517" s="3">
        <v>2</v>
      </c>
      <c r="P517" s="3">
        <f t="shared" si="0"/>
        <v>0</v>
      </c>
      <c r="Q517" s="3">
        <f t="shared" si="1"/>
        <v>92</v>
      </c>
      <c r="R517" s="3">
        <f t="shared" si="2"/>
        <v>8</v>
      </c>
      <c r="S517" s="11"/>
    </row>
    <row r="518" ht="13.5" customHeight="1" spans="1:21">
      <c r="A518" s="4" t="s">
        <v>57</v>
      </c>
      <c r="B518" s="3">
        <v>1847</v>
      </c>
      <c r="C518" s="3">
        <v>10763</v>
      </c>
      <c r="D518" s="3">
        <v>0.1</v>
      </c>
      <c r="E518" s="4" t="s">
        <v>22</v>
      </c>
      <c r="F518" s="4" t="s">
        <v>23</v>
      </c>
      <c r="G518" s="4" t="s">
        <v>24</v>
      </c>
      <c r="H518" s="4" t="s">
        <v>25</v>
      </c>
      <c r="I518" s="4" t="s">
        <v>26</v>
      </c>
      <c r="J518" s="3">
        <v>1</v>
      </c>
      <c r="K518" s="3">
        <v>25</v>
      </c>
      <c r="L518" s="3">
        <v>21</v>
      </c>
      <c r="M518" s="3">
        <v>0</v>
      </c>
      <c r="N518" s="3">
        <v>0</v>
      </c>
      <c r="O518" s="3">
        <v>4</v>
      </c>
      <c r="P518" s="3">
        <f t="shared" si="0"/>
        <v>0</v>
      </c>
      <c r="Q518" s="3">
        <f t="shared" si="1"/>
        <v>84</v>
      </c>
      <c r="R518" s="3">
        <f t="shared" si="2"/>
        <v>16</v>
      </c>
      <c r="S518" s="11">
        <f>AVERAGE(Q518:Q521)</f>
        <v>95</v>
      </c>
      <c r="T518" s="7">
        <f>AVERAGE(R518:R521)</f>
        <v>5</v>
      </c>
      <c r="U518" s="8">
        <f>(L518+L519+L520+L521+O518+O519+O520+O521)/(K518+K519+K520+K521)*100</f>
        <v>100</v>
      </c>
    </row>
    <row r="519" ht="13.5" customHeight="1" spans="1:19">
      <c r="A519" s="4" t="s">
        <v>57</v>
      </c>
      <c r="B519" s="3">
        <v>1847</v>
      </c>
      <c r="C519" s="3">
        <v>10763</v>
      </c>
      <c r="D519" s="3">
        <v>0.1</v>
      </c>
      <c r="E519" s="4" t="s">
        <v>22</v>
      </c>
      <c r="F519" s="4" t="s">
        <v>23</v>
      </c>
      <c r="G519" s="4" t="s">
        <v>24</v>
      </c>
      <c r="H519" s="4" t="s">
        <v>25</v>
      </c>
      <c r="I519" s="4" t="s">
        <v>26</v>
      </c>
      <c r="J519" s="3">
        <v>2</v>
      </c>
      <c r="K519" s="3">
        <v>25</v>
      </c>
      <c r="L519" s="3">
        <v>25</v>
      </c>
      <c r="M519" s="3">
        <v>0</v>
      </c>
      <c r="N519" s="3">
        <v>0</v>
      </c>
      <c r="O519" s="3">
        <v>0</v>
      </c>
      <c r="P519" s="3">
        <f t="shared" si="0"/>
        <v>0</v>
      </c>
      <c r="Q519" s="3">
        <f t="shared" si="1"/>
        <v>100</v>
      </c>
      <c r="R519" s="3">
        <f t="shared" si="2"/>
        <v>0</v>
      </c>
      <c r="S519" s="11"/>
    </row>
    <row r="520" ht="13.5" customHeight="1" spans="1:19">
      <c r="A520" s="4" t="s">
        <v>57</v>
      </c>
      <c r="B520" s="3">
        <v>1847</v>
      </c>
      <c r="C520" s="3">
        <v>10763</v>
      </c>
      <c r="D520" s="3">
        <v>0.1</v>
      </c>
      <c r="E520" s="4" t="s">
        <v>22</v>
      </c>
      <c r="F520" s="4" t="s">
        <v>23</v>
      </c>
      <c r="G520" s="4" t="s">
        <v>24</v>
      </c>
      <c r="H520" s="4" t="s">
        <v>25</v>
      </c>
      <c r="I520" s="4" t="s">
        <v>26</v>
      </c>
      <c r="J520" s="3">
        <v>3</v>
      </c>
      <c r="K520" s="3">
        <v>25</v>
      </c>
      <c r="L520" s="3">
        <v>24</v>
      </c>
      <c r="M520" s="3">
        <v>0</v>
      </c>
      <c r="N520" s="3">
        <v>0</v>
      </c>
      <c r="O520" s="3">
        <v>1</v>
      </c>
      <c r="P520" s="3">
        <f t="shared" si="0"/>
        <v>0</v>
      </c>
      <c r="Q520" s="3">
        <f t="shared" si="1"/>
        <v>96</v>
      </c>
      <c r="R520" s="3">
        <f t="shared" si="2"/>
        <v>4</v>
      </c>
      <c r="S520" s="11"/>
    </row>
    <row r="521" ht="13.5" customHeight="1" spans="1:19">
      <c r="A521" s="4" t="s">
        <v>57</v>
      </c>
      <c r="B521" s="3">
        <v>1847</v>
      </c>
      <c r="C521" s="3">
        <v>10763</v>
      </c>
      <c r="D521" s="3">
        <v>0.1</v>
      </c>
      <c r="E521" s="4" t="s">
        <v>22</v>
      </c>
      <c r="F521" s="4" t="s">
        <v>23</v>
      </c>
      <c r="G521" s="4" t="s">
        <v>24</v>
      </c>
      <c r="H521" s="4" t="s">
        <v>25</v>
      </c>
      <c r="I521" s="4" t="s">
        <v>26</v>
      </c>
      <c r="J521" s="3">
        <v>4</v>
      </c>
      <c r="K521" s="3">
        <v>25</v>
      </c>
      <c r="L521" s="3">
        <v>25</v>
      </c>
      <c r="M521" s="3">
        <v>0</v>
      </c>
      <c r="N521" s="3">
        <v>0</v>
      </c>
      <c r="O521" s="3">
        <v>0</v>
      </c>
      <c r="P521" s="3">
        <f t="shared" si="0"/>
        <v>0</v>
      </c>
      <c r="Q521" s="3">
        <f t="shared" si="1"/>
        <v>100</v>
      </c>
      <c r="R521" s="3">
        <f t="shared" si="2"/>
        <v>0</v>
      </c>
      <c r="S521" s="11"/>
    </row>
    <row r="522" ht="13.5" customHeight="1" spans="1:21">
      <c r="A522" s="4" t="s">
        <v>47</v>
      </c>
      <c r="B522" s="3">
        <v>1504</v>
      </c>
      <c r="C522" s="3">
        <v>9859</v>
      </c>
      <c r="D522" s="3">
        <v>4</v>
      </c>
      <c r="E522" s="4" t="s">
        <v>22</v>
      </c>
      <c r="F522" s="4" t="s">
        <v>152</v>
      </c>
      <c r="G522" s="4" t="s">
        <v>153</v>
      </c>
      <c r="H522" s="4" t="s">
        <v>25</v>
      </c>
      <c r="I522" s="4" t="s">
        <v>26</v>
      </c>
      <c r="J522" s="3">
        <v>1</v>
      </c>
      <c r="K522" s="3">
        <v>25</v>
      </c>
      <c r="L522" s="3">
        <v>24</v>
      </c>
      <c r="M522" s="3">
        <v>0</v>
      </c>
      <c r="N522" s="3">
        <v>1</v>
      </c>
      <c r="O522" s="3">
        <v>0</v>
      </c>
      <c r="P522" s="3">
        <f t="shared" si="0"/>
        <v>0</v>
      </c>
      <c r="Q522" s="3">
        <f t="shared" si="1"/>
        <v>100</v>
      </c>
      <c r="R522" s="3">
        <f t="shared" si="2"/>
        <v>0</v>
      </c>
      <c r="S522" s="11">
        <f>AVERAGE(Q522:Q525)</f>
        <v>97.9166666666667</v>
      </c>
      <c r="T522" s="7">
        <f>AVERAGE(R522:R525)</f>
        <v>1.04166666666667</v>
      </c>
      <c r="U522" s="8">
        <f>(L522+L523+L524+L525+O522+O523+O524+O525)/(K522+K523+K524+K525)*100</f>
        <v>95</v>
      </c>
    </row>
    <row r="523" ht="13.5" customHeight="1" spans="1:19">
      <c r="A523" s="4" t="s">
        <v>47</v>
      </c>
      <c r="B523" s="3">
        <v>1504</v>
      </c>
      <c r="C523" s="3">
        <v>9859</v>
      </c>
      <c r="D523" s="3">
        <v>4</v>
      </c>
      <c r="E523" s="4" t="s">
        <v>22</v>
      </c>
      <c r="F523" s="4" t="s">
        <v>152</v>
      </c>
      <c r="G523" s="4" t="s">
        <v>153</v>
      </c>
      <c r="H523" s="4" t="s">
        <v>25</v>
      </c>
      <c r="I523" s="4" t="s">
        <v>26</v>
      </c>
      <c r="J523" s="3">
        <v>2</v>
      </c>
      <c r="K523" s="3">
        <v>25</v>
      </c>
      <c r="L523" s="3">
        <v>24</v>
      </c>
      <c r="M523" s="3">
        <v>0</v>
      </c>
      <c r="N523" s="3">
        <v>1</v>
      </c>
      <c r="O523" s="3">
        <v>0</v>
      </c>
      <c r="P523" s="3">
        <f t="shared" si="0"/>
        <v>0</v>
      </c>
      <c r="Q523" s="3">
        <f t="shared" si="1"/>
        <v>100</v>
      </c>
      <c r="R523" s="3">
        <f t="shared" si="2"/>
        <v>0</v>
      </c>
      <c r="S523" s="11"/>
    </row>
    <row r="524" ht="13.5" customHeight="1" spans="1:19">
      <c r="A524" s="4" t="s">
        <v>47</v>
      </c>
      <c r="B524" s="3">
        <v>1504</v>
      </c>
      <c r="C524" s="3">
        <v>9859</v>
      </c>
      <c r="D524" s="3">
        <v>4</v>
      </c>
      <c r="E524" s="4" t="s">
        <v>22</v>
      </c>
      <c r="F524" s="4" t="s">
        <v>152</v>
      </c>
      <c r="G524" s="4" t="s">
        <v>153</v>
      </c>
      <c r="H524" s="4" t="s">
        <v>25</v>
      </c>
      <c r="I524" s="4" t="s">
        <v>26</v>
      </c>
      <c r="J524" s="3">
        <v>3</v>
      </c>
      <c r="K524" s="3">
        <v>25</v>
      </c>
      <c r="L524" s="3">
        <v>23</v>
      </c>
      <c r="M524" s="3">
        <v>0</v>
      </c>
      <c r="N524" s="3">
        <v>1</v>
      </c>
      <c r="O524" s="3">
        <v>1</v>
      </c>
      <c r="P524" s="3">
        <f t="shared" si="0"/>
        <v>0</v>
      </c>
      <c r="Q524" s="3">
        <f t="shared" si="1"/>
        <v>95.8333333333333</v>
      </c>
      <c r="R524" s="3">
        <f t="shared" si="2"/>
        <v>4.16666666666667</v>
      </c>
      <c r="S524" s="11"/>
    </row>
    <row r="525" ht="13.5" customHeight="1" spans="1:19">
      <c r="A525" s="4" t="s">
        <v>47</v>
      </c>
      <c r="B525" s="3">
        <v>1504</v>
      </c>
      <c r="C525" s="3">
        <v>9859</v>
      </c>
      <c r="D525" s="3">
        <v>4</v>
      </c>
      <c r="E525" s="4" t="s">
        <v>22</v>
      </c>
      <c r="F525" s="4" t="s">
        <v>152</v>
      </c>
      <c r="G525" s="4" t="s">
        <v>153</v>
      </c>
      <c r="H525" s="4" t="s">
        <v>25</v>
      </c>
      <c r="I525" s="4" t="s">
        <v>26</v>
      </c>
      <c r="J525" s="3">
        <v>4</v>
      </c>
      <c r="K525" s="3">
        <v>25</v>
      </c>
      <c r="L525" s="3">
        <v>23</v>
      </c>
      <c r="M525" s="3">
        <v>1</v>
      </c>
      <c r="N525" s="3">
        <v>1</v>
      </c>
      <c r="O525" s="3">
        <v>0</v>
      </c>
      <c r="P525" s="3">
        <f t="shared" si="0"/>
        <v>0</v>
      </c>
      <c r="Q525" s="3">
        <f t="shared" si="1"/>
        <v>95.8333333333333</v>
      </c>
      <c r="R525" s="3">
        <f t="shared" si="2"/>
        <v>0</v>
      </c>
      <c r="S525" s="11"/>
    </row>
    <row r="526" ht="13.5" customHeight="1" spans="1:21">
      <c r="A526" s="4" t="s">
        <v>60</v>
      </c>
      <c r="B526" s="3">
        <v>1330</v>
      </c>
      <c r="C526" s="3">
        <v>9133</v>
      </c>
      <c r="D526" s="3">
        <v>0.1</v>
      </c>
      <c r="E526" s="4" t="s">
        <v>98</v>
      </c>
      <c r="F526" s="4" t="s">
        <v>99</v>
      </c>
      <c r="G526" s="3" t="s">
        <v>99</v>
      </c>
      <c r="H526" s="4" t="s">
        <v>62</v>
      </c>
      <c r="I526" s="4" t="s">
        <v>26</v>
      </c>
      <c r="J526" s="3">
        <v>1</v>
      </c>
      <c r="K526" s="3">
        <v>25</v>
      </c>
      <c r="L526" s="3">
        <v>5</v>
      </c>
      <c r="M526" s="3">
        <v>13</v>
      </c>
      <c r="N526" s="3">
        <v>0</v>
      </c>
      <c r="O526" s="3">
        <v>7</v>
      </c>
      <c r="P526" s="3">
        <f t="shared" si="0"/>
        <v>0</v>
      </c>
      <c r="Q526" s="3">
        <f t="shared" si="1"/>
        <v>20</v>
      </c>
      <c r="R526" s="3">
        <f t="shared" si="2"/>
        <v>28</v>
      </c>
      <c r="S526" s="11">
        <f>AVERAGE(Q526:Q529)</f>
        <v>40</v>
      </c>
      <c r="T526" s="7">
        <f>AVERAGE(R526:R529)</f>
        <v>25</v>
      </c>
      <c r="U526" s="8">
        <f>(L526+L527+L528+L529+O526+O527+O528+O529)/(K526+K527+K528+K529)*100</f>
        <v>65</v>
      </c>
    </row>
    <row r="527" ht="13.5" customHeight="1" spans="1:19">
      <c r="A527" s="4" t="s">
        <v>60</v>
      </c>
      <c r="B527" s="3">
        <v>1330</v>
      </c>
      <c r="C527" s="3">
        <v>9133</v>
      </c>
      <c r="D527" s="3">
        <v>0.1</v>
      </c>
      <c r="E527" s="4" t="s">
        <v>98</v>
      </c>
      <c r="F527" s="4" t="s">
        <v>99</v>
      </c>
      <c r="G527" s="3" t="s">
        <v>99</v>
      </c>
      <c r="H527" s="4" t="s">
        <v>62</v>
      </c>
      <c r="I527" s="4" t="s">
        <v>26</v>
      </c>
      <c r="J527" s="3">
        <v>2</v>
      </c>
      <c r="K527" s="3">
        <v>25</v>
      </c>
      <c r="L527" s="3">
        <v>10</v>
      </c>
      <c r="M527" s="3">
        <v>11</v>
      </c>
      <c r="N527" s="3">
        <v>0</v>
      </c>
      <c r="O527" s="3">
        <v>4</v>
      </c>
      <c r="P527" s="3">
        <f t="shared" si="0"/>
        <v>0</v>
      </c>
      <c r="Q527" s="3">
        <f t="shared" si="1"/>
        <v>40</v>
      </c>
      <c r="R527" s="3">
        <f t="shared" si="2"/>
        <v>16</v>
      </c>
      <c r="S527" s="11"/>
    </row>
    <row r="528" ht="13.5" customHeight="1" spans="1:19">
      <c r="A528" s="4" t="s">
        <v>60</v>
      </c>
      <c r="B528" s="3">
        <v>1330</v>
      </c>
      <c r="C528" s="3">
        <v>9133</v>
      </c>
      <c r="D528" s="3">
        <v>0.1</v>
      </c>
      <c r="E528" s="4" t="s">
        <v>98</v>
      </c>
      <c r="F528" s="4" t="s">
        <v>99</v>
      </c>
      <c r="G528" s="3" t="s">
        <v>99</v>
      </c>
      <c r="H528" s="4" t="s">
        <v>62</v>
      </c>
      <c r="I528" s="4" t="s">
        <v>26</v>
      </c>
      <c r="J528" s="3">
        <v>3</v>
      </c>
      <c r="K528" s="3">
        <v>25</v>
      </c>
      <c r="L528" s="3">
        <v>15</v>
      </c>
      <c r="M528" s="3">
        <v>3</v>
      </c>
      <c r="N528" s="3">
        <v>0</v>
      </c>
      <c r="O528" s="3">
        <v>7</v>
      </c>
      <c r="P528" s="3">
        <f t="shared" si="0"/>
        <v>0</v>
      </c>
      <c r="Q528" s="3">
        <f t="shared" si="1"/>
        <v>60</v>
      </c>
      <c r="R528" s="3">
        <f t="shared" si="2"/>
        <v>28</v>
      </c>
      <c r="S528" s="11"/>
    </row>
    <row r="529" ht="13.5" customHeight="1" spans="1:19">
      <c r="A529" s="4" t="s">
        <v>60</v>
      </c>
      <c r="B529" s="3">
        <v>1330</v>
      </c>
      <c r="C529" s="3">
        <v>9133</v>
      </c>
      <c r="D529" s="3">
        <v>0.1</v>
      </c>
      <c r="E529" s="4" t="s">
        <v>98</v>
      </c>
      <c r="F529" s="4" t="s">
        <v>99</v>
      </c>
      <c r="G529" s="3" t="s">
        <v>99</v>
      </c>
      <c r="H529" s="4" t="s">
        <v>62</v>
      </c>
      <c r="I529" s="4" t="s">
        <v>26</v>
      </c>
      <c r="J529" s="3">
        <v>4</v>
      </c>
      <c r="K529" s="3">
        <v>25</v>
      </c>
      <c r="L529" s="3">
        <v>10</v>
      </c>
      <c r="M529" s="3">
        <v>8</v>
      </c>
      <c r="N529" s="3">
        <v>0</v>
      </c>
      <c r="O529" s="3">
        <v>7</v>
      </c>
      <c r="P529" s="3">
        <f t="shared" si="0"/>
        <v>0</v>
      </c>
      <c r="Q529" s="3">
        <f t="shared" si="1"/>
        <v>40</v>
      </c>
      <c r="R529" s="3">
        <f t="shared" si="2"/>
        <v>28</v>
      </c>
      <c r="S529" s="11"/>
    </row>
    <row r="530" ht="13.5" customHeight="1" spans="1:21">
      <c r="A530" s="4" t="s">
        <v>77</v>
      </c>
      <c r="B530" s="3">
        <v>1746</v>
      </c>
      <c r="C530" s="3">
        <v>10331</v>
      </c>
      <c r="D530" s="3">
        <v>0.1</v>
      </c>
      <c r="E530" s="4" t="s">
        <v>28</v>
      </c>
      <c r="F530" s="4" t="s">
        <v>72</v>
      </c>
      <c r="G530" s="3" t="s">
        <v>73</v>
      </c>
      <c r="H530" s="4" t="s">
        <v>40</v>
      </c>
      <c r="I530" s="4" t="s">
        <v>26</v>
      </c>
      <c r="J530" s="3">
        <v>1</v>
      </c>
      <c r="K530" s="3">
        <v>25</v>
      </c>
      <c r="L530" s="3">
        <v>0</v>
      </c>
      <c r="M530" s="3">
        <v>9</v>
      </c>
      <c r="N530" s="3">
        <v>0</v>
      </c>
      <c r="O530" s="3">
        <v>16</v>
      </c>
      <c r="P530" s="3">
        <f t="shared" si="0"/>
        <v>0</v>
      </c>
      <c r="Q530" s="3">
        <f t="shared" si="1"/>
        <v>0</v>
      </c>
      <c r="R530" s="3">
        <f t="shared" si="2"/>
        <v>64</v>
      </c>
      <c r="S530" s="11">
        <f>AVERAGE(Q530:Q533)</f>
        <v>0</v>
      </c>
      <c r="T530" s="7">
        <f>AVERAGE(R530:R533)</f>
        <v>83</v>
      </c>
      <c r="U530" s="8">
        <f>(L530+L531+L532+L533+O530+O531+O532+O533)/(K530+K531+K532+K533)*100</f>
        <v>83</v>
      </c>
    </row>
    <row r="531" ht="13.5" customHeight="1" spans="1:19">
      <c r="A531" s="4" t="s">
        <v>77</v>
      </c>
      <c r="B531" s="3">
        <v>1746</v>
      </c>
      <c r="C531" s="3">
        <v>10331</v>
      </c>
      <c r="D531" s="3">
        <v>0.1</v>
      </c>
      <c r="E531" s="4" t="s">
        <v>28</v>
      </c>
      <c r="F531" s="4" t="s">
        <v>72</v>
      </c>
      <c r="G531" s="3" t="s">
        <v>73</v>
      </c>
      <c r="H531" s="4" t="s">
        <v>40</v>
      </c>
      <c r="I531" s="4" t="s">
        <v>26</v>
      </c>
      <c r="J531" s="3">
        <v>2</v>
      </c>
      <c r="K531" s="3">
        <v>25</v>
      </c>
      <c r="L531" s="3">
        <v>0</v>
      </c>
      <c r="M531" s="3">
        <v>2</v>
      </c>
      <c r="N531" s="3">
        <v>0</v>
      </c>
      <c r="O531" s="3">
        <v>23</v>
      </c>
      <c r="P531" s="3">
        <f t="shared" si="0"/>
        <v>0</v>
      </c>
      <c r="Q531" s="3">
        <f t="shared" si="1"/>
        <v>0</v>
      </c>
      <c r="R531" s="3">
        <f t="shared" si="2"/>
        <v>92</v>
      </c>
      <c r="S531" s="11"/>
    </row>
    <row r="532" ht="13.5" customHeight="1" spans="1:19">
      <c r="A532" s="4" t="s">
        <v>77</v>
      </c>
      <c r="B532" s="3">
        <v>1746</v>
      </c>
      <c r="C532" s="3">
        <v>10331</v>
      </c>
      <c r="D532" s="3">
        <v>0.1</v>
      </c>
      <c r="E532" s="4" t="s">
        <v>28</v>
      </c>
      <c r="F532" s="4" t="s">
        <v>72</v>
      </c>
      <c r="G532" s="3" t="s">
        <v>73</v>
      </c>
      <c r="H532" s="4" t="s">
        <v>40</v>
      </c>
      <c r="I532" s="4" t="s">
        <v>26</v>
      </c>
      <c r="J532" s="3">
        <v>3</v>
      </c>
      <c r="K532" s="3">
        <v>25</v>
      </c>
      <c r="L532" s="3">
        <v>0</v>
      </c>
      <c r="M532" s="3">
        <v>3</v>
      </c>
      <c r="N532" s="3">
        <v>0</v>
      </c>
      <c r="O532" s="3">
        <v>22</v>
      </c>
      <c r="P532" s="3">
        <f t="shared" si="0"/>
        <v>0</v>
      </c>
      <c r="Q532" s="3">
        <f t="shared" si="1"/>
        <v>0</v>
      </c>
      <c r="R532" s="3">
        <f t="shared" si="2"/>
        <v>88</v>
      </c>
      <c r="S532" s="11"/>
    </row>
    <row r="533" ht="13.5" customHeight="1" spans="1:19">
      <c r="A533" s="4" t="s">
        <v>77</v>
      </c>
      <c r="B533" s="3">
        <v>1746</v>
      </c>
      <c r="C533" s="3">
        <v>10331</v>
      </c>
      <c r="D533" s="3">
        <v>0.1</v>
      </c>
      <c r="E533" s="4" t="s">
        <v>28</v>
      </c>
      <c r="F533" s="4" t="s">
        <v>72</v>
      </c>
      <c r="G533" s="3" t="s">
        <v>73</v>
      </c>
      <c r="H533" s="4" t="s">
        <v>40</v>
      </c>
      <c r="I533" s="4" t="s">
        <v>26</v>
      </c>
      <c r="J533" s="3">
        <v>4</v>
      </c>
      <c r="K533" s="3">
        <v>25</v>
      </c>
      <c r="L533" s="3">
        <v>0</v>
      </c>
      <c r="M533" s="3">
        <v>3</v>
      </c>
      <c r="N533" s="3">
        <v>0</v>
      </c>
      <c r="O533" s="3">
        <v>22</v>
      </c>
      <c r="P533" s="3">
        <f t="shared" si="0"/>
        <v>0</v>
      </c>
      <c r="Q533" s="3">
        <f t="shared" si="1"/>
        <v>0</v>
      </c>
      <c r="R533" s="3">
        <f t="shared" si="2"/>
        <v>88</v>
      </c>
      <c r="S533" s="11"/>
    </row>
    <row r="534" ht="13.5" customHeight="1" spans="1:21">
      <c r="A534" s="4" t="s">
        <v>21</v>
      </c>
      <c r="B534" s="3">
        <v>1236</v>
      </c>
      <c r="C534" s="3">
        <v>8460</v>
      </c>
      <c r="D534" s="3">
        <v>0.1</v>
      </c>
      <c r="E534" s="4" t="s">
        <v>22</v>
      </c>
      <c r="F534" s="4" t="s">
        <v>154</v>
      </c>
      <c r="G534" s="3" t="s">
        <v>155</v>
      </c>
      <c r="H534" s="4" t="s">
        <v>25</v>
      </c>
      <c r="I534" s="4" t="s">
        <v>156</v>
      </c>
      <c r="J534" s="3">
        <v>1</v>
      </c>
      <c r="K534" s="3">
        <v>25</v>
      </c>
      <c r="L534" s="3">
        <v>23</v>
      </c>
      <c r="M534" s="3">
        <v>2</v>
      </c>
      <c r="N534" s="3">
        <v>0</v>
      </c>
      <c r="O534" s="3">
        <v>0</v>
      </c>
      <c r="P534" s="3">
        <f t="shared" si="0"/>
        <v>0</v>
      </c>
      <c r="Q534" s="3">
        <f t="shared" si="1"/>
        <v>92</v>
      </c>
      <c r="R534" s="3">
        <f t="shared" si="2"/>
        <v>0</v>
      </c>
      <c r="S534" s="11">
        <f>AVERAGE(Q534:Q537)</f>
        <v>96</v>
      </c>
      <c r="T534" s="7">
        <f>AVERAGE(R534:R537)</f>
        <v>0</v>
      </c>
      <c r="U534" s="8">
        <f>(L534+L535+L536+L537+O534+O535+O536+O537)/(K534+K535+K536+K537)*100</f>
        <v>96</v>
      </c>
    </row>
    <row r="535" ht="13.5" customHeight="1" spans="1:19">
      <c r="A535" s="4" t="s">
        <v>21</v>
      </c>
      <c r="B535" s="3">
        <v>1236</v>
      </c>
      <c r="C535" s="3">
        <v>8460</v>
      </c>
      <c r="D535" s="3">
        <v>0.1</v>
      </c>
      <c r="E535" s="4" t="s">
        <v>22</v>
      </c>
      <c r="F535" s="4" t="s">
        <v>154</v>
      </c>
      <c r="G535" s="3" t="s">
        <v>155</v>
      </c>
      <c r="H535" s="4" t="s">
        <v>25</v>
      </c>
      <c r="I535" s="4" t="s">
        <v>156</v>
      </c>
      <c r="J535" s="3">
        <v>2</v>
      </c>
      <c r="K535" s="3">
        <v>25</v>
      </c>
      <c r="L535" s="3">
        <v>24</v>
      </c>
      <c r="M535" s="3">
        <v>1</v>
      </c>
      <c r="N535" s="3">
        <v>0</v>
      </c>
      <c r="O535" s="3">
        <v>0</v>
      </c>
      <c r="P535" s="3">
        <f t="shared" si="0"/>
        <v>0</v>
      </c>
      <c r="Q535" s="3">
        <f t="shared" si="1"/>
        <v>96</v>
      </c>
      <c r="R535" s="3">
        <f t="shared" si="2"/>
        <v>0</v>
      </c>
      <c r="S535" s="11"/>
    </row>
    <row r="536" ht="13.5" customHeight="1" spans="1:19">
      <c r="A536" s="4" t="s">
        <v>21</v>
      </c>
      <c r="B536" s="3">
        <v>1236</v>
      </c>
      <c r="C536" s="3">
        <v>8460</v>
      </c>
      <c r="D536" s="3">
        <v>0.1</v>
      </c>
      <c r="E536" s="4" t="s">
        <v>22</v>
      </c>
      <c r="F536" s="4" t="s">
        <v>154</v>
      </c>
      <c r="G536" s="3" t="s">
        <v>155</v>
      </c>
      <c r="H536" s="4" t="s">
        <v>25</v>
      </c>
      <c r="I536" s="4" t="s">
        <v>156</v>
      </c>
      <c r="J536" s="3">
        <v>3</v>
      </c>
      <c r="K536" s="3">
        <v>25</v>
      </c>
      <c r="L536" s="3">
        <v>24</v>
      </c>
      <c r="M536" s="3">
        <v>1</v>
      </c>
      <c r="N536" s="3">
        <v>0</v>
      </c>
      <c r="O536" s="3">
        <v>0</v>
      </c>
      <c r="P536" s="3">
        <f t="shared" si="0"/>
        <v>0</v>
      </c>
      <c r="Q536" s="3">
        <f t="shared" si="1"/>
        <v>96</v>
      </c>
      <c r="R536" s="3">
        <f t="shared" si="2"/>
        <v>0</v>
      </c>
      <c r="S536" s="11"/>
    </row>
    <row r="537" ht="13.5" customHeight="1" spans="1:19">
      <c r="A537" s="4" t="s">
        <v>21</v>
      </c>
      <c r="B537" s="3">
        <v>1236</v>
      </c>
      <c r="C537" s="3">
        <v>8460</v>
      </c>
      <c r="D537" s="3">
        <v>0.1</v>
      </c>
      <c r="E537" s="4" t="s">
        <v>22</v>
      </c>
      <c r="F537" s="4" t="s">
        <v>154</v>
      </c>
      <c r="G537" s="3" t="s">
        <v>155</v>
      </c>
      <c r="H537" s="4" t="s">
        <v>25</v>
      </c>
      <c r="I537" s="4" t="s">
        <v>156</v>
      </c>
      <c r="J537" s="3">
        <v>4</v>
      </c>
      <c r="K537" s="3">
        <v>25</v>
      </c>
      <c r="L537" s="3">
        <v>25</v>
      </c>
      <c r="M537" s="3">
        <v>0</v>
      </c>
      <c r="N537" s="3">
        <v>0</v>
      </c>
      <c r="O537" s="3">
        <v>0</v>
      </c>
      <c r="P537" s="3">
        <f t="shared" si="0"/>
        <v>0</v>
      </c>
      <c r="Q537" s="3">
        <f t="shared" si="1"/>
        <v>100</v>
      </c>
      <c r="R537" s="3">
        <f t="shared" si="2"/>
        <v>0</v>
      </c>
      <c r="S537" s="11"/>
    </row>
    <row r="538" ht="13.5" customHeight="1" spans="1:21">
      <c r="A538" s="4" t="s">
        <v>86</v>
      </c>
      <c r="B538" s="3">
        <v>1097</v>
      </c>
      <c r="C538" s="3">
        <v>6679</v>
      </c>
      <c r="D538" s="3">
        <v>0.1</v>
      </c>
      <c r="E538" s="4" t="s">
        <v>22</v>
      </c>
      <c r="F538" s="4" t="s">
        <v>157</v>
      </c>
      <c r="G538" s="4" t="s">
        <v>158</v>
      </c>
      <c r="H538" s="4" t="s">
        <v>40</v>
      </c>
      <c r="I538" s="4" t="s">
        <v>156</v>
      </c>
      <c r="J538" s="3">
        <v>1</v>
      </c>
      <c r="K538" s="3">
        <v>25</v>
      </c>
      <c r="L538" s="3">
        <v>16</v>
      </c>
      <c r="M538" s="3">
        <v>5</v>
      </c>
      <c r="N538" s="3">
        <v>4</v>
      </c>
      <c r="O538" s="3">
        <v>0</v>
      </c>
      <c r="P538" s="3">
        <f t="shared" si="0"/>
        <v>0</v>
      </c>
      <c r="Q538" s="3">
        <f t="shared" si="1"/>
        <v>76.1904761904762</v>
      </c>
      <c r="R538" s="3">
        <f t="shared" si="2"/>
        <v>0</v>
      </c>
      <c r="S538" s="11">
        <f>AVERAGE(Q538:Q541)</f>
        <v>72.3453017570665</v>
      </c>
      <c r="T538" s="7">
        <f>AVERAGE(R538:R541)</f>
        <v>0</v>
      </c>
      <c r="U538" s="8">
        <f>(L538+L539+L540+L541+O538+O539+O540+O541)/(K538+K539+K540+K541)*100</f>
        <v>59</v>
      </c>
    </row>
    <row r="539" ht="13.5" customHeight="1" spans="1:19">
      <c r="A539" s="4" t="s">
        <v>86</v>
      </c>
      <c r="B539" s="3">
        <v>1097</v>
      </c>
      <c r="C539" s="3">
        <v>6679</v>
      </c>
      <c r="D539" s="3">
        <v>0.1</v>
      </c>
      <c r="E539" s="4" t="s">
        <v>22</v>
      </c>
      <c r="F539" s="4" t="s">
        <v>157</v>
      </c>
      <c r="G539" s="4" t="s">
        <v>158</v>
      </c>
      <c r="H539" s="4" t="s">
        <v>40</v>
      </c>
      <c r="I539" s="4" t="s">
        <v>156</v>
      </c>
      <c r="J539" s="3">
        <v>2</v>
      </c>
      <c r="K539" s="3">
        <v>25</v>
      </c>
      <c r="L539" s="3">
        <v>11</v>
      </c>
      <c r="M539" s="3">
        <v>6</v>
      </c>
      <c r="N539" s="3">
        <v>8</v>
      </c>
      <c r="O539" s="3">
        <v>0</v>
      </c>
      <c r="P539" s="3">
        <f t="shared" si="0"/>
        <v>0</v>
      </c>
      <c r="Q539" s="3">
        <f t="shared" si="1"/>
        <v>64.7058823529412</v>
      </c>
      <c r="R539" s="3">
        <f t="shared" si="2"/>
        <v>0</v>
      </c>
      <c r="S539" s="11"/>
    </row>
    <row r="540" ht="13.5" customHeight="1" spans="1:19">
      <c r="A540" s="4" t="s">
        <v>86</v>
      </c>
      <c r="B540" s="3">
        <v>1097</v>
      </c>
      <c r="C540" s="3">
        <v>6679</v>
      </c>
      <c r="D540" s="3">
        <v>0.1</v>
      </c>
      <c r="E540" s="4" t="s">
        <v>22</v>
      </c>
      <c r="F540" s="4" t="s">
        <v>157</v>
      </c>
      <c r="G540" s="4" t="s">
        <v>158</v>
      </c>
      <c r="H540" s="4" t="s">
        <v>40</v>
      </c>
      <c r="I540" s="4" t="s">
        <v>156</v>
      </c>
      <c r="J540" s="3">
        <v>3</v>
      </c>
      <c r="K540" s="3">
        <v>25</v>
      </c>
      <c r="L540" s="3">
        <v>14</v>
      </c>
      <c r="M540" s="3">
        <v>7</v>
      </c>
      <c r="N540" s="3">
        <v>4</v>
      </c>
      <c r="O540" s="3">
        <v>0</v>
      </c>
      <c r="P540" s="3">
        <f t="shared" si="0"/>
        <v>0</v>
      </c>
      <c r="Q540" s="3">
        <f t="shared" si="1"/>
        <v>66.6666666666667</v>
      </c>
      <c r="R540" s="3">
        <f t="shared" si="2"/>
        <v>0</v>
      </c>
      <c r="S540" s="11"/>
    </row>
    <row r="541" ht="13.5" customHeight="1" spans="1:19">
      <c r="A541" s="4" t="s">
        <v>86</v>
      </c>
      <c r="B541" s="3">
        <v>1097</v>
      </c>
      <c r="C541" s="3">
        <v>6679</v>
      </c>
      <c r="D541" s="3">
        <v>0.1</v>
      </c>
      <c r="E541" s="4" t="s">
        <v>22</v>
      </c>
      <c r="F541" s="4" t="s">
        <v>157</v>
      </c>
      <c r="G541" s="4" t="s">
        <v>158</v>
      </c>
      <c r="H541" s="4" t="s">
        <v>40</v>
      </c>
      <c r="I541" s="4" t="s">
        <v>156</v>
      </c>
      <c r="J541" s="3">
        <v>4</v>
      </c>
      <c r="K541" s="3">
        <v>25</v>
      </c>
      <c r="L541" s="3">
        <v>18</v>
      </c>
      <c r="M541" s="3">
        <v>4</v>
      </c>
      <c r="N541" s="3">
        <v>3</v>
      </c>
      <c r="O541" s="3">
        <v>0</v>
      </c>
      <c r="P541" s="3">
        <f t="shared" si="0"/>
        <v>0</v>
      </c>
      <c r="Q541" s="3">
        <f t="shared" si="1"/>
        <v>81.8181818181818</v>
      </c>
      <c r="R541" s="3">
        <f t="shared" si="2"/>
        <v>0</v>
      </c>
      <c r="S541" s="11"/>
    </row>
    <row r="542" ht="13.5" customHeight="1" spans="1:21">
      <c r="A542" s="4" t="s">
        <v>36</v>
      </c>
      <c r="B542" s="3">
        <v>1294</v>
      </c>
      <c r="C542" s="3">
        <v>8842</v>
      </c>
      <c r="D542" s="3">
        <v>1</v>
      </c>
      <c r="E542" s="4" t="s">
        <v>22</v>
      </c>
      <c r="F542" s="4" t="s">
        <v>157</v>
      </c>
      <c r="G542" s="4" t="s">
        <v>158</v>
      </c>
      <c r="H542" s="4" t="s">
        <v>40</v>
      </c>
      <c r="I542" s="4" t="s">
        <v>156</v>
      </c>
      <c r="J542" s="3">
        <v>1</v>
      </c>
      <c r="K542" s="3">
        <v>25</v>
      </c>
      <c r="L542" s="3">
        <v>18</v>
      </c>
      <c r="M542" s="3">
        <v>1</v>
      </c>
      <c r="N542" s="3">
        <v>6</v>
      </c>
      <c r="O542" s="3">
        <v>0</v>
      </c>
      <c r="P542" s="3">
        <f t="shared" si="0"/>
        <v>0</v>
      </c>
      <c r="Q542" s="3">
        <f t="shared" si="1"/>
        <v>94.7368421052632</v>
      </c>
      <c r="R542" s="3">
        <f t="shared" si="2"/>
        <v>0</v>
      </c>
      <c r="S542" s="11">
        <f>AVERAGE(Q542:Q545)</f>
        <v>78.0592105263158</v>
      </c>
      <c r="T542" s="7">
        <f>AVERAGE(R542:R545)</f>
        <v>0</v>
      </c>
      <c r="U542" s="8">
        <f>(L542+L543+L544+L545+O542+O543+O544+O545)/(K542+K543+K544+K545)*100</f>
        <v>71</v>
      </c>
    </row>
    <row r="543" ht="13.5" customHeight="1" spans="1:19">
      <c r="A543" s="4" t="s">
        <v>36</v>
      </c>
      <c r="B543" s="3">
        <v>1294</v>
      </c>
      <c r="C543" s="3">
        <v>8842</v>
      </c>
      <c r="D543" s="3">
        <v>1</v>
      </c>
      <c r="E543" s="4" t="s">
        <v>22</v>
      </c>
      <c r="F543" s="4" t="s">
        <v>157</v>
      </c>
      <c r="G543" s="4" t="s">
        <v>158</v>
      </c>
      <c r="H543" s="4" t="s">
        <v>40</v>
      </c>
      <c r="I543" s="4" t="s">
        <v>156</v>
      </c>
      <c r="J543" s="3">
        <v>2</v>
      </c>
      <c r="K543" s="3">
        <v>25</v>
      </c>
      <c r="L543" s="3">
        <v>20</v>
      </c>
      <c r="M543" s="3">
        <v>5</v>
      </c>
      <c r="N543" s="3">
        <v>0</v>
      </c>
      <c r="O543" s="3">
        <v>0</v>
      </c>
      <c r="P543" s="3">
        <f t="shared" si="0"/>
        <v>0</v>
      </c>
      <c r="Q543" s="3">
        <f t="shared" si="1"/>
        <v>80</v>
      </c>
      <c r="R543" s="3">
        <f t="shared" si="2"/>
        <v>0</v>
      </c>
      <c r="S543" s="11"/>
    </row>
    <row r="544" ht="13.5" customHeight="1" spans="1:19">
      <c r="A544" s="4" t="s">
        <v>36</v>
      </c>
      <c r="B544" s="3">
        <v>1294</v>
      </c>
      <c r="C544" s="3">
        <v>8842</v>
      </c>
      <c r="D544" s="3">
        <v>1</v>
      </c>
      <c r="E544" s="4" t="s">
        <v>22</v>
      </c>
      <c r="F544" s="4" t="s">
        <v>157</v>
      </c>
      <c r="G544" s="4" t="s">
        <v>158</v>
      </c>
      <c r="H544" s="4" t="s">
        <v>40</v>
      </c>
      <c r="I544" s="4" t="s">
        <v>156</v>
      </c>
      <c r="J544" s="3">
        <v>3</v>
      </c>
      <c r="K544" s="3">
        <v>25</v>
      </c>
      <c r="L544" s="3">
        <v>17</v>
      </c>
      <c r="M544" s="3">
        <v>7</v>
      </c>
      <c r="N544" s="3">
        <v>1</v>
      </c>
      <c r="O544" s="3">
        <v>0</v>
      </c>
      <c r="P544" s="3">
        <f t="shared" si="0"/>
        <v>0</v>
      </c>
      <c r="Q544" s="3">
        <f t="shared" si="1"/>
        <v>70.8333333333333</v>
      </c>
      <c r="R544" s="3">
        <f t="shared" si="2"/>
        <v>0</v>
      </c>
      <c r="S544" s="11"/>
    </row>
    <row r="545" ht="13.5" customHeight="1" spans="1:19">
      <c r="A545" s="4" t="s">
        <v>36</v>
      </c>
      <c r="B545" s="3">
        <v>1294</v>
      </c>
      <c r="C545" s="3">
        <v>8842</v>
      </c>
      <c r="D545" s="3">
        <v>1</v>
      </c>
      <c r="E545" s="4" t="s">
        <v>22</v>
      </c>
      <c r="F545" s="4" t="s">
        <v>157</v>
      </c>
      <c r="G545" s="4" t="s">
        <v>158</v>
      </c>
      <c r="H545" s="4" t="s">
        <v>40</v>
      </c>
      <c r="I545" s="4" t="s">
        <v>156</v>
      </c>
      <c r="J545" s="3">
        <v>4</v>
      </c>
      <c r="K545" s="3">
        <v>25</v>
      </c>
      <c r="L545" s="3">
        <v>16</v>
      </c>
      <c r="M545" s="3">
        <v>8</v>
      </c>
      <c r="N545" s="3">
        <v>1</v>
      </c>
      <c r="O545" s="3">
        <v>0</v>
      </c>
      <c r="P545" s="3">
        <f t="shared" si="0"/>
        <v>0</v>
      </c>
      <c r="Q545" s="3">
        <f t="shared" si="1"/>
        <v>66.6666666666667</v>
      </c>
      <c r="R545" s="3">
        <f t="shared" si="2"/>
        <v>0</v>
      </c>
      <c r="S545" s="11"/>
    </row>
    <row r="546" ht="13.5" customHeight="1" spans="1:21">
      <c r="A546" s="4" t="s">
        <v>46</v>
      </c>
      <c r="B546" s="3">
        <v>1270</v>
      </c>
      <c r="C546" s="3">
        <v>8757</v>
      </c>
      <c r="D546" s="3">
        <v>0.1</v>
      </c>
      <c r="E546" s="4" t="s">
        <v>22</v>
      </c>
      <c r="F546" s="4" t="s">
        <v>159</v>
      </c>
      <c r="G546" s="3" t="s">
        <v>160</v>
      </c>
      <c r="H546" s="4" t="s">
        <v>40</v>
      </c>
      <c r="I546" s="4" t="s">
        <v>156</v>
      </c>
      <c r="J546" s="3">
        <v>1</v>
      </c>
      <c r="K546" s="3">
        <v>25</v>
      </c>
      <c r="L546" s="3">
        <v>25</v>
      </c>
      <c r="M546" s="3">
        <v>0</v>
      </c>
      <c r="N546" s="3">
        <v>0</v>
      </c>
      <c r="O546" s="3">
        <v>0</v>
      </c>
      <c r="P546" s="3">
        <f t="shared" si="0"/>
        <v>0</v>
      </c>
      <c r="Q546" s="3">
        <f t="shared" si="1"/>
        <v>100</v>
      </c>
      <c r="R546" s="3">
        <f t="shared" si="2"/>
        <v>0</v>
      </c>
      <c r="S546" s="11">
        <f>AVERAGE(Q546:Q549)</f>
        <v>100</v>
      </c>
      <c r="T546" s="7">
        <f>AVERAGE(R546:R549)</f>
        <v>0</v>
      </c>
      <c r="U546" s="8">
        <f>(L546+L547+L548+L549+O546+O547+O548+O549)/(K546+K547+K548+K549)*100</f>
        <v>100</v>
      </c>
    </row>
    <row r="547" ht="13.5" customHeight="1" spans="1:19">
      <c r="A547" s="4" t="s">
        <v>46</v>
      </c>
      <c r="B547" s="3">
        <v>1270</v>
      </c>
      <c r="C547" s="3">
        <v>8757</v>
      </c>
      <c r="D547" s="3">
        <v>0.1</v>
      </c>
      <c r="E547" s="4" t="s">
        <v>22</v>
      </c>
      <c r="F547" s="4" t="s">
        <v>159</v>
      </c>
      <c r="G547" s="3" t="s">
        <v>160</v>
      </c>
      <c r="H547" s="4" t="s">
        <v>40</v>
      </c>
      <c r="I547" s="4" t="s">
        <v>156</v>
      </c>
      <c r="J547" s="3">
        <v>2</v>
      </c>
      <c r="K547" s="3">
        <v>25</v>
      </c>
      <c r="L547" s="3">
        <v>25</v>
      </c>
      <c r="M547" s="3">
        <v>0</v>
      </c>
      <c r="N547" s="3">
        <v>0</v>
      </c>
      <c r="O547" s="3">
        <v>0</v>
      </c>
      <c r="P547" s="3">
        <f t="shared" si="0"/>
        <v>0</v>
      </c>
      <c r="Q547" s="3">
        <f t="shared" si="1"/>
        <v>100</v>
      </c>
      <c r="R547" s="3">
        <f t="shared" si="2"/>
        <v>0</v>
      </c>
      <c r="S547" s="11"/>
    </row>
    <row r="548" ht="13.5" customHeight="1" spans="1:19">
      <c r="A548" s="4" t="s">
        <v>46</v>
      </c>
      <c r="B548" s="3">
        <v>1270</v>
      </c>
      <c r="C548" s="3">
        <v>8757</v>
      </c>
      <c r="D548" s="3">
        <v>0.1</v>
      </c>
      <c r="E548" s="4" t="s">
        <v>22</v>
      </c>
      <c r="F548" s="4" t="s">
        <v>159</v>
      </c>
      <c r="G548" s="3" t="s">
        <v>160</v>
      </c>
      <c r="H548" s="4" t="s">
        <v>40</v>
      </c>
      <c r="I548" s="4" t="s">
        <v>156</v>
      </c>
      <c r="J548" s="3">
        <v>3</v>
      </c>
      <c r="K548" s="3">
        <v>25</v>
      </c>
      <c r="L548" s="3">
        <v>25</v>
      </c>
      <c r="M548" s="3">
        <v>0</v>
      </c>
      <c r="N548" s="3">
        <v>0</v>
      </c>
      <c r="O548" s="3">
        <v>0</v>
      </c>
      <c r="P548" s="3">
        <f t="shared" si="0"/>
        <v>0</v>
      </c>
      <c r="Q548" s="3">
        <f t="shared" si="1"/>
        <v>100</v>
      </c>
      <c r="R548" s="3">
        <f t="shared" si="2"/>
        <v>0</v>
      </c>
      <c r="S548" s="11"/>
    </row>
    <row r="549" ht="13.5" customHeight="1" spans="1:19">
      <c r="A549" s="4" t="s">
        <v>46</v>
      </c>
      <c r="B549" s="3">
        <v>1270</v>
      </c>
      <c r="C549" s="3">
        <v>8757</v>
      </c>
      <c r="D549" s="3">
        <v>0.1</v>
      </c>
      <c r="E549" s="4" t="s">
        <v>22</v>
      </c>
      <c r="F549" s="4" t="s">
        <v>159</v>
      </c>
      <c r="G549" s="3" t="s">
        <v>160</v>
      </c>
      <c r="H549" s="4" t="s">
        <v>40</v>
      </c>
      <c r="I549" s="4" t="s">
        <v>156</v>
      </c>
      <c r="J549" s="3">
        <v>4</v>
      </c>
      <c r="K549" s="3">
        <v>25</v>
      </c>
      <c r="L549" s="3">
        <v>25</v>
      </c>
      <c r="M549" s="3">
        <v>0</v>
      </c>
      <c r="N549" s="3">
        <v>0</v>
      </c>
      <c r="O549" s="3">
        <v>0</v>
      </c>
      <c r="P549" s="3">
        <f t="shared" si="0"/>
        <v>0</v>
      </c>
      <c r="Q549" s="3">
        <f t="shared" si="1"/>
        <v>100</v>
      </c>
      <c r="R549" s="3">
        <f t="shared" si="2"/>
        <v>0</v>
      </c>
      <c r="S549" s="11"/>
    </row>
    <row r="550" ht="13.5" customHeight="1" spans="1:21">
      <c r="A550" s="4" t="s">
        <v>27</v>
      </c>
      <c r="B550" s="3">
        <v>1204</v>
      </c>
      <c r="C550" s="3">
        <v>7100</v>
      </c>
      <c r="D550" s="3">
        <v>1</v>
      </c>
      <c r="E550" s="4" t="s">
        <v>22</v>
      </c>
      <c r="F550" s="4" t="s">
        <v>157</v>
      </c>
      <c r="G550" s="4" t="s">
        <v>158</v>
      </c>
      <c r="H550" s="4" t="s">
        <v>40</v>
      </c>
      <c r="I550" s="4" t="s">
        <v>156</v>
      </c>
      <c r="J550" s="3">
        <v>1</v>
      </c>
      <c r="K550" s="3">
        <v>25</v>
      </c>
      <c r="L550" s="3">
        <v>22</v>
      </c>
      <c r="M550" s="3">
        <v>0</v>
      </c>
      <c r="N550" s="3">
        <v>0</v>
      </c>
      <c r="O550" s="3">
        <v>3</v>
      </c>
      <c r="P550" s="3">
        <f t="shared" si="0"/>
        <v>0</v>
      </c>
      <c r="Q550" s="3">
        <f t="shared" si="1"/>
        <v>88</v>
      </c>
      <c r="R550" s="3">
        <f t="shared" si="2"/>
        <v>12</v>
      </c>
      <c r="S550" s="11">
        <f>AVERAGE(Q550:Q553)</f>
        <v>81</v>
      </c>
      <c r="T550" s="7">
        <f>AVERAGE(R550:R553)</f>
        <v>4</v>
      </c>
      <c r="U550" s="8">
        <f>(L550+L551+L552+L553+O550+O551+O552+O553)/(K550+K551+K552+K553)*100</f>
        <v>85</v>
      </c>
    </row>
    <row r="551" ht="13.5" customHeight="1" spans="1:19">
      <c r="A551" s="4" t="s">
        <v>27</v>
      </c>
      <c r="B551" s="3">
        <v>1204</v>
      </c>
      <c r="C551" s="3">
        <v>7100</v>
      </c>
      <c r="D551" s="3">
        <v>1</v>
      </c>
      <c r="E551" s="4" t="s">
        <v>22</v>
      </c>
      <c r="F551" s="4" t="s">
        <v>157</v>
      </c>
      <c r="G551" s="4" t="s">
        <v>158</v>
      </c>
      <c r="H551" s="4" t="s">
        <v>40</v>
      </c>
      <c r="I551" s="4" t="s">
        <v>156</v>
      </c>
      <c r="J551" s="3">
        <v>2</v>
      </c>
      <c r="K551" s="3">
        <v>25</v>
      </c>
      <c r="L551" s="3">
        <v>17</v>
      </c>
      <c r="M551" s="3">
        <v>7</v>
      </c>
      <c r="N551" s="3">
        <v>0</v>
      </c>
      <c r="O551" s="3">
        <v>1</v>
      </c>
      <c r="P551" s="3">
        <f t="shared" si="0"/>
        <v>0</v>
      </c>
      <c r="Q551" s="3">
        <f t="shared" si="1"/>
        <v>68</v>
      </c>
      <c r="R551" s="3">
        <f t="shared" si="2"/>
        <v>4</v>
      </c>
      <c r="S551" s="11"/>
    </row>
    <row r="552" ht="13.5" customHeight="1" spans="1:19">
      <c r="A552" s="4" t="s">
        <v>27</v>
      </c>
      <c r="B552" s="3">
        <v>1204</v>
      </c>
      <c r="C552" s="3">
        <v>7100</v>
      </c>
      <c r="D552" s="3">
        <v>1</v>
      </c>
      <c r="E552" s="4" t="s">
        <v>22</v>
      </c>
      <c r="F552" s="4" t="s">
        <v>157</v>
      </c>
      <c r="G552" s="4" t="s">
        <v>158</v>
      </c>
      <c r="H552" s="4" t="s">
        <v>40</v>
      </c>
      <c r="I552" s="4" t="s">
        <v>156</v>
      </c>
      <c r="J552" s="3">
        <v>3</v>
      </c>
      <c r="K552" s="3">
        <v>25</v>
      </c>
      <c r="L552" s="3">
        <v>19</v>
      </c>
      <c r="M552" s="3">
        <v>6</v>
      </c>
      <c r="N552" s="3">
        <v>0</v>
      </c>
      <c r="O552" s="3">
        <v>0</v>
      </c>
      <c r="P552" s="3">
        <f t="shared" si="0"/>
        <v>0</v>
      </c>
      <c r="Q552" s="3">
        <f t="shared" si="1"/>
        <v>76</v>
      </c>
      <c r="R552" s="3">
        <f t="shared" si="2"/>
        <v>0</v>
      </c>
      <c r="S552" s="11"/>
    </row>
    <row r="553" ht="13.5" customHeight="1" spans="1:19">
      <c r="A553" s="4" t="s">
        <v>27</v>
      </c>
      <c r="B553" s="3">
        <v>1204</v>
      </c>
      <c r="C553" s="3">
        <v>7100</v>
      </c>
      <c r="D553" s="3">
        <v>1</v>
      </c>
      <c r="E553" s="4" t="s">
        <v>22</v>
      </c>
      <c r="F553" s="4" t="s">
        <v>157</v>
      </c>
      <c r="G553" s="4" t="s">
        <v>158</v>
      </c>
      <c r="H553" s="4" t="s">
        <v>40</v>
      </c>
      <c r="I553" s="4" t="s">
        <v>156</v>
      </c>
      <c r="J553" s="3">
        <v>4</v>
      </c>
      <c r="K553" s="3">
        <v>25</v>
      </c>
      <c r="L553" s="3">
        <v>23</v>
      </c>
      <c r="M553" s="3">
        <v>2</v>
      </c>
      <c r="N553" s="3">
        <v>0</v>
      </c>
      <c r="O553" s="3">
        <v>0</v>
      </c>
      <c r="P553" s="3">
        <f t="shared" si="0"/>
        <v>0</v>
      </c>
      <c r="Q553" s="3">
        <f t="shared" si="1"/>
        <v>92</v>
      </c>
      <c r="R553" s="3">
        <f t="shared" si="2"/>
        <v>0</v>
      </c>
      <c r="S553" s="11"/>
    </row>
    <row r="554" ht="13.5" customHeight="1" spans="1:21">
      <c r="A554" s="4" t="s">
        <v>69</v>
      </c>
      <c r="B554" s="3">
        <v>1940</v>
      </c>
      <c r="C554" s="3">
        <v>11126</v>
      </c>
      <c r="D554" s="3">
        <v>2</v>
      </c>
      <c r="E554" s="4" t="s">
        <v>22</v>
      </c>
      <c r="F554" s="4" t="s">
        <v>161</v>
      </c>
      <c r="G554" s="4" t="s">
        <v>162</v>
      </c>
      <c r="H554" s="4" t="s">
        <v>40</v>
      </c>
      <c r="I554" s="4" t="s">
        <v>156</v>
      </c>
      <c r="J554" s="3">
        <v>1</v>
      </c>
      <c r="K554" s="3">
        <v>20</v>
      </c>
      <c r="L554" s="3">
        <v>19</v>
      </c>
      <c r="M554" s="3">
        <v>1</v>
      </c>
      <c r="N554" s="3">
        <v>0</v>
      </c>
      <c r="O554" s="3">
        <v>0</v>
      </c>
      <c r="P554" s="3">
        <f t="shared" si="0"/>
        <v>0</v>
      </c>
      <c r="Q554" s="3">
        <f t="shared" si="1"/>
        <v>95</v>
      </c>
      <c r="R554" s="3">
        <f t="shared" si="2"/>
        <v>0</v>
      </c>
      <c r="S554" s="11">
        <f>AVERAGE(Q554:Q557)</f>
        <v>97.5</v>
      </c>
      <c r="T554" s="7">
        <f>AVERAGE(R554:R557)</f>
        <v>0</v>
      </c>
      <c r="U554" s="8">
        <f>(L554+L555+L556+L557+O554+O555+O556+O557)/(K554+K555+K556+K557)*100</f>
        <v>97.5</v>
      </c>
    </row>
    <row r="555" ht="13.5" customHeight="1" spans="1:19">
      <c r="A555" s="4" t="s">
        <v>69</v>
      </c>
      <c r="B555" s="3">
        <v>1940</v>
      </c>
      <c r="C555" s="3">
        <v>11126</v>
      </c>
      <c r="D555" s="3">
        <v>2</v>
      </c>
      <c r="E555" s="4" t="s">
        <v>22</v>
      </c>
      <c r="F555" s="4" t="s">
        <v>161</v>
      </c>
      <c r="G555" s="4" t="s">
        <v>162</v>
      </c>
      <c r="H555" s="4" t="s">
        <v>40</v>
      </c>
      <c r="I555" s="4" t="s">
        <v>156</v>
      </c>
      <c r="J555" s="3">
        <v>2</v>
      </c>
      <c r="K555" s="3">
        <v>20</v>
      </c>
      <c r="L555" s="3">
        <v>19</v>
      </c>
      <c r="M555" s="3">
        <v>1</v>
      </c>
      <c r="N555" s="3">
        <v>0</v>
      </c>
      <c r="O555" s="3">
        <v>0</v>
      </c>
      <c r="P555" s="3">
        <f t="shared" si="0"/>
        <v>0</v>
      </c>
      <c r="Q555" s="3">
        <f t="shared" si="1"/>
        <v>95</v>
      </c>
      <c r="R555" s="3">
        <f t="shared" si="2"/>
        <v>0</v>
      </c>
      <c r="S555" s="11"/>
    </row>
    <row r="556" ht="13.5" customHeight="1" spans="1:19">
      <c r="A556" s="4" t="s">
        <v>69</v>
      </c>
      <c r="B556" s="3">
        <v>1940</v>
      </c>
      <c r="C556" s="3">
        <v>11126</v>
      </c>
      <c r="D556" s="3">
        <v>2</v>
      </c>
      <c r="E556" s="4" t="s">
        <v>22</v>
      </c>
      <c r="F556" s="4" t="s">
        <v>161</v>
      </c>
      <c r="G556" s="4" t="s">
        <v>162</v>
      </c>
      <c r="H556" s="4" t="s">
        <v>40</v>
      </c>
      <c r="I556" s="4" t="s">
        <v>156</v>
      </c>
      <c r="J556" s="3">
        <v>3</v>
      </c>
      <c r="K556" s="3">
        <v>20</v>
      </c>
      <c r="L556" s="3">
        <v>20</v>
      </c>
      <c r="M556" s="3">
        <v>0</v>
      </c>
      <c r="N556" s="3">
        <v>0</v>
      </c>
      <c r="O556" s="3">
        <v>0</v>
      </c>
      <c r="P556" s="3">
        <f t="shared" si="0"/>
        <v>0</v>
      </c>
      <c r="Q556" s="3">
        <f t="shared" si="1"/>
        <v>100</v>
      </c>
      <c r="R556" s="3">
        <f t="shared" si="2"/>
        <v>0</v>
      </c>
      <c r="S556" s="11"/>
    </row>
    <row r="557" ht="13.5" customHeight="1" spans="1:19">
      <c r="A557" s="4" t="s">
        <v>69</v>
      </c>
      <c r="B557" s="3">
        <v>1940</v>
      </c>
      <c r="C557" s="3">
        <v>11126</v>
      </c>
      <c r="D557" s="3">
        <v>2</v>
      </c>
      <c r="E557" s="4" t="s">
        <v>22</v>
      </c>
      <c r="F557" s="4" t="s">
        <v>161</v>
      </c>
      <c r="G557" s="4" t="s">
        <v>162</v>
      </c>
      <c r="H557" s="4" t="s">
        <v>40</v>
      </c>
      <c r="I557" s="4" t="s">
        <v>156</v>
      </c>
      <c r="J557" s="3">
        <v>4</v>
      </c>
      <c r="K557" s="3">
        <v>20</v>
      </c>
      <c r="L557" s="3">
        <v>20</v>
      </c>
      <c r="M557" s="3">
        <v>0</v>
      </c>
      <c r="N557" s="3">
        <v>0</v>
      </c>
      <c r="O557" s="3">
        <v>0</v>
      </c>
      <c r="P557" s="3">
        <f t="shared" si="0"/>
        <v>0</v>
      </c>
      <c r="Q557" s="3">
        <f t="shared" si="1"/>
        <v>100</v>
      </c>
      <c r="R557" s="3">
        <f t="shared" si="2"/>
        <v>0</v>
      </c>
      <c r="S557" s="11"/>
    </row>
    <row r="558" ht="13.5" customHeight="1" spans="1:21">
      <c r="A558" s="4" t="s">
        <v>46</v>
      </c>
      <c r="B558" s="3">
        <v>1270</v>
      </c>
      <c r="C558" s="3">
        <v>8757</v>
      </c>
      <c r="D558" s="3">
        <v>0.1</v>
      </c>
      <c r="E558" s="4" t="s">
        <v>22</v>
      </c>
      <c r="F558" s="4" t="s">
        <v>157</v>
      </c>
      <c r="G558" s="4" t="s">
        <v>158</v>
      </c>
      <c r="H558" s="4" t="s">
        <v>40</v>
      </c>
      <c r="I558" s="4" t="s">
        <v>156</v>
      </c>
      <c r="J558" s="3">
        <v>1</v>
      </c>
      <c r="K558" s="3">
        <v>25</v>
      </c>
      <c r="L558" s="3">
        <v>21</v>
      </c>
      <c r="M558" s="3">
        <v>2</v>
      </c>
      <c r="N558" s="3">
        <v>2</v>
      </c>
      <c r="O558" s="3">
        <v>0</v>
      </c>
      <c r="P558" s="3">
        <f t="shared" si="0"/>
        <v>0</v>
      </c>
      <c r="Q558" s="3">
        <f t="shared" si="1"/>
        <v>91.304347826087</v>
      </c>
      <c r="R558" s="3">
        <f t="shared" si="2"/>
        <v>0</v>
      </c>
      <c r="S558" s="11">
        <f>AVERAGE(Q558:Q561)</f>
        <v>90.8260869565217</v>
      </c>
      <c r="T558" s="7">
        <f>AVERAGE(R558:R561)</f>
        <v>0</v>
      </c>
      <c r="U558" s="8">
        <f>(L558+L559+L560+L561+O558+O559+O560+O561)/(K558+K559+K560+K561)*100</f>
        <v>89</v>
      </c>
    </row>
    <row r="559" ht="13.5" customHeight="1" spans="1:19">
      <c r="A559" s="4" t="s">
        <v>46</v>
      </c>
      <c r="B559" s="3">
        <v>1270</v>
      </c>
      <c r="C559" s="3">
        <v>8757</v>
      </c>
      <c r="D559" s="3">
        <v>0.1</v>
      </c>
      <c r="E559" s="4" t="s">
        <v>22</v>
      </c>
      <c r="F559" s="4" t="s">
        <v>157</v>
      </c>
      <c r="G559" s="4" t="s">
        <v>158</v>
      </c>
      <c r="H559" s="4" t="s">
        <v>40</v>
      </c>
      <c r="I559" s="4" t="s">
        <v>156</v>
      </c>
      <c r="J559" s="3">
        <v>2</v>
      </c>
      <c r="K559" s="3">
        <v>25</v>
      </c>
      <c r="L559" s="3">
        <v>23</v>
      </c>
      <c r="M559" s="3">
        <v>2</v>
      </c>
      <c r="N559" s="3">
        <v>0</v>
      </c>
      <c r="O559" s="3">
        <v>0</v>
      </c>
      <c r="P559" s="3">
        <f t="shared" si="0"/>
        <v>0</v>
      </c>
      <c r="Q559" s="3">
        <f t="shared" si="1"/>
        <v>92</v>
      </c>
      <c r="R559" s="3">
        <f t="shared" si="2"/>
        <v>0</v>
      </c>
      <c r="S559" s="11"/>
    </row>
    <row r="560" ht="13.5" customHeight="1" spans="1:19">
      <c r="A560" s="4" t="s">
        <v>46</v>
      </c>
      <c r="B560" s="3">
        <v>1270</v>
      </c>
      <c r="C560" s="3">
        <v>8757</v>
      </c>
      <c r="D560" s="3">
        <v>0.1</v>
      </c>
      <c r="E560" s="4" t="s">
        <v>22</v>
      </c>
      <c r="F560" s="4" t="s">
        <v>157</v>
      </c>
      <c r="G560" s="4" t="s">
        <v>158</v>
      </c>
      <c r="H560" s="4" t="s">
        <v>40</v>
      </c>
      <c r="I560" s="4" t="s">
        <v>156</v>
      </c>
      <c r="J560" s="3">
        <v>3</v>
      </c>
      <c r="K560" s="3">
        <v>25</v>
      </c>
      <c r="L560" s="3">
        <v>22</v>
      </c>
      <c r="M560" s="3">
        <v>3</v>
      </c>
      <c r="N560" s="3">
        <v>0</v>
      </c>
      <c r="O560" s="3">
        <v>0</v>
      </c>
      <c r="P560" s="3">
        <f t="shared" si="0"/>
        <v>0</v>
      </c>
      <c r="Q560" s="3">
        <f t="shared" si="1"/>
        <v>88</v>
      </c>
      <c r="R560" s="3">
        <f t="shared" si="2"/>
        <v>0</v>
      </c>
      <c r="S560" s="11"/>
    </row>
    <row r="561" ht="13.5" customHeight="1" spans="1:19">
      <c r="A561" s="4" t="s">
        <v>46</v>
      </c>
      <c r="B561" s="3">
        <v>1270</v>
      </c>
      <c r="C561" s="3">
        <v>8757</v>
      </c>
      <c r="D561" s="3">
        <v>0.1</v>
      </c>
      <c r="E561" s="4" t="s">
        <v>22</v>
      </c>
      <c r="F561" s="4" t="s">
        <v>157</v>
      </c>
      <c r="G561" s="4" t="s">
        <v>158</v>
      </c>
      <c r="H561" s="4" t="s">
        <v>40</v>
      </c>
      <c r="I561" s="4" t="s">
        <v>156</v>
      </c>
      <c r="J561" s="3">
        <v>4</v>
      </c>
      <c r="K561" s="3">
        <v>25</v>
      </c>
      <c r="L561" s="3">
        <v>23</v>
      </c>
      <c r="M561" s="3">
        <v>2</v>
      </c>
      <c r="N561" s="3">
        <v>0</v>
      </c>
      <c r="O561" s="3">
        <v>0</v>
      </c>
      <c r="P561" s="3">
        <f t="shared" si="0"/>
        <v>0</v>
      </c>
      <c r="Q561" s="3">
        <f t="shared" si="1"/>
        <v>92</v>
      </c>
      <c r="R561" s="3">
        <f t="shared" si="2"/>
        <v>0</v>
      </c>
      <c r="S561" s="11"/>
    </row>
    <row r="562" ht="13.5" customHeight="1" spans="1:21">
      <c r="A562" s="4" t="s">
        <v>84</v>
      </c>
      <c r="B562" s="3">
        <v>1177</v>
      </c>
      <c r="C562" s="3">
        <v>8175</v>
      </c>
      <c r="D562" s="3">
        <v>1</v>
      </c>
      <c r="E562" s="4" t="s">
        <v>22</v>
      </c>
      <c r="F562" s="4" t="s">
        <v>161</v>
      </c>
      <c r="G562" s="4" t="s">
        <v>162</v>
      </c>
      <c r="H562" s="4" t="s">
        <v>40</v>
      </c>
      <c r="I562" s="4" t="s">
        <v>156</v>
      </c>
      <c r="J562" s="3">
        <v>1</v>
      </c>
      <c r="K562" s="3">
        <v>25</v>
      </c>
      <c r="L562" s="3">
        <v>21</v>
      </c>
      <c r="M562" s="3">
        <v>4</v>
      </c>
      <c r="N562" s="3">
        <v>0</v>
      </c>
      <c r="O562" s="3">
        <v>0</v>
      </c>
      <c r="P562" s="3">
        <f t="shared" si="0"/>
        <v>0</v>
      </c>
      <c r="Q562" s="3">
        <f t="shared" si="1"/>
        <v>84</v>
      </c>
      <c r="R562" s="3">
        <f t="shared" si="2"/>
        <v>0</v>
      </c>
      <c r="S562" s="11">
        <f>AVERAGE(Q562:Q565)</f>
        <v>90</v>
      </c>
      <c r="T562" s="7">
        <f>AVERAGE(R562:R565)</f>
        <v>0</v>
      </c>
      <c r="U562" s="8">
        <f>(L562+L563+L564+L565+O562+O563+O564+O565)/(K562+K563+K564+K565)*100</f>
        <v>90</v>
      </c>
    </row>
    <row r="563" ht="13.5" customHeight="1" spans="1:19">
      <c r="A563" s="4" t="s">
        <v>84</v>
      </c>
      <c r="B563" s="3">
        <v>1177</v>
      </c>
      <c r="C563" s="3">
        <v>8175</v>
      </c>
      <c r="D563" s="3">
        <v>1</v>
      </c>
      <c r="E563" s="4" t="s">
        <v>22</v>
      </c>
      <c r="F563" s="4" t="s">
        <v>161</v>
      </c>
      <c r="G563" s="4" t="s">
        <v>162</v>
      </c>
      <c r="H563" s="4" t="s">
        <v>40</v>
      </c>
      <c r="I563" s="4" t="s">
        <v>156</v>
      </c>
      <c r="J563" s="3">
        <v>2</v>
      </c>
      <c r="K563" s="3">
        <v>25</v>
      </c>
      <c r="L563" s="3">
        <v>24</v>
      </c>
      <c r="M563" s="3">
        <v>1</v>
      </c>
      <c r="N563" s="3">
        <v>0</v>
      </c>
      <c r="O563" s="3">
        <v>0</v>
      </c>
      <c r="P563" s="3">
        <f t="shared" si="0"/>
        <v>0</v>
      </c>
      <c r="Q563" s="3">
        <f t="shared" si="1"/>
        <v>96</v>
      </c>
      <c r="R563" s="3">
        <f t="shared" si="2"/>
        <v>0</v>
      </c>
      <c r="S563" s="11"/>
    </row>
    <row r="564" ht="13.5" customHeight="1" spans="1:19">
      <c r="A564" s="4" t="s">
        <v>84</v>
      </c>
      <c r="B564" s="3">
        <v>1177</v>
      </c>
      <c r="C564" s="3">
        <v>8175</v>
      </c>
      <c r="D564" s="3">
        <v>1</v>
      </c>
      <c r="E564" s="4" t="s">
        <v>22</v>
      </c>
      <c r="F564" s="4" t="s">
        <v>161</v>
      </c>
      <c r="G564" s="4" t="s">
        <v>162</v>
      </c>
      <c r="H564" s="4" t="s">
        <v>40</v>
      </c>
      <c r="I564" s="4" t="s">
        <v>156</v>
      </c>
      <c r="J564" s="3">
        <v>3</v>
      </c>
      <c r="K564" s="3">
        <v>25</v>
      </c>
      <c r="L564" s="3">
        <v>22</v>
      </c>
      <c r="M564" s="3">
        <v>3</v>
      </c>
      <c r="N564" s="3">
        <v>0</v>
      </c>
      <c r="O564" s="3">
        <v>0</v>
      </c>
      <c r="P564" s="3">
        <f t="shared" si="0"/>
        <v>0</v>
      </c>
      <c r="Q564" s="3">
        <f t="shared" si="1"/>
        <v>88</v>
      </c>
      <c r="R564" s="3">
        <f t="shared" si="2"/>
        <v>0</v>
      </c>
      <c r="S564" s="11"/>
    </row>
    <row r="565" ht="13.5" customHeight="1" spans="1:19">
      <c r="A565" s="4" t="s">
        <v>84</v>
      </c>
      <c r="B565" s="3">
        <v>1177</v>
      </c>
      <c r="C565" s="3">
        <v>8175</v>
      </c>
      <c r="D565" s="3">
        <v>1</v>
      </c>
      <c r="E565" s="4" t="s">
        <v>22</v>
      </c>
      <c r="F565" s="4" t="s">
        <v>161</v>
      </c>
      <c r="G565" s="4" t="s">
        <v>162</v>
      </c>
      <c r="H565" s="4" t="s">
        <v>40</v>
      </c>
      <c r="I565" s="4" t="s">
        <v>156</v>
      </c>
      <c r="J565" s="3">
        <v>4</v>
      </c>
      <c r="K565" s="3">
        <v>25</v>
      </c>
      <c r="L565" s="3">
        <v>23</v>
      </c>
      <c r="M565" s="3">
        <v>2</v>
      </c>
      <c r="N565" s="3">
        <v>0</v>
      </c>
      <c r="O565" s="3">
        <v>0</v>
      </c>
      <c r="P565" s="3">
        <f t="shared" si="0"/>
        <v>0</v>
      </c>
      <c r="Q565" s="3">
        <f t="shared" si="1"/>
        <v>92</v>
      </c>
      <c r="R565" s="3">
        <f t="shared" si="2"/>
        <v>0</v>
      </c>
      <c r="S565" s="11"/>
    </row>
    <row r="566" ht="13.5" customHeight="1" spans="1:21">
      <c r="A566" s="4" t="s">
        <v>77</v>
      </c>
      <c r="B566" s="3">
        <v>1746</v>
      </c>
      <c r="C566" s="3">
        <v>10331</v>
      </c>
      <c r="D566" s="3">
        <v>0.1</v>
      </c>
      <c r="E566" s="4" t="s">
        <v>22</v>
      </c>
      <c r="F566" s="4" t="s">
        <v>157</v>
      </c>
      <c r="G566" s="4" t="s">
        <v>158</v>
      </c>
      <c r="H566" s="4" t="s">
        <v>40</v>
      </c>
      <c r="I566" s="4" t="s">
        <v>156</v>
      </c>
      <c r="J566" s="3">
        <v>1</v>
      </c>
      <c r="K566" s="3">
        <v>25</v>
      </c>
      <c r="L566" s="3">
        <v>21</v>
      </c>
      <c r="M566" s="3">
        <v>0</v>
      </c>
      <c r="N566" s="3">
        <v>0</v>
      </c>
      <c r="O566" s="3">
        <v>4</v>
      </c>
      <c r="P566" s="3">
        <f t="shared" si="0"/>
        <v>0</v>
      </c>
      <c r="Q566" s="3">
        <f t="shared" si="1"/>
        <v>84</v>
      </c>
      <c r="R566" s="3">
        <f t="shared" si="2"/>
        <v>16</v>
      </c>
      <c r="S566" s="11">
        <f>AVERAGE(Q566:Q569)</f>
        <v>95</v>
      </c>
      <c r="T566" s="7">
        <f>AVERAGE(R566:R569)</f>
        <v>5</v>
      </c>
      <c r="U566" s="8">
        <f>(L566+L567+L568+L569+O566+O567+O568+O569)/(K566+K567+K568+K569)*100</f>
        <v>100</v>
      </c>
    </row>
    <row r="567" ht="13.5" customHeight="1" spans="1:19">
      <c r="A567" s="4" t="s">
        <v>77</v>
      </c>
      <c r="B567" s="3">
        <v>1746</v>
      </c>
      <c r="C567" s="3">
        <v>10331</v>
      </c>
      <c r="D567" s="3">
        <v>0.1</v>
      </c>
      <c r="E567" s="4" t="s">
        <v>22</v>
      </c>
      <c r="F567" s="4" t="s">
        <v>157</v>
      </c>
      <c r="G567" s="4" t="s">
        <v>158</v>
      </c>
      <c r="H567" s="4" t="s">
        <v>40</v>
      </c>
      <c r="I567" s="4" t="s">
        <v>156</v>
      </c>
      <c r="J567" s="3">
        <v>2</v>
      </c>
      <c r="K567" s="3">
        <v>25</v>
      </c>
      <c r="L567" s="3">
        <v>24</v>
      </c>
      <c r="M567" s="3">
        <v>0</v>
      </c>
      <c r="N567" s="3">
        <v>0</v>
      </c>
      <c r="O567" s="3">
        <v>1</v>
      </c>
      <c r="P567" s="3">
        <f t="shared" si="0"/>
        <v>0</v>
      </c>
      <c r="Q567" s="3">
        <f t="shared" si="1"/>
        <v>96</v>
      </c>
      <c r="R567" s="3">
        <f t="shared" si="2"/>
        <v>4</v>
      </c>
      <c r="S567" s="11"/>
    </row>
    <row r="568" ht="13.5" customHeight="1" spans="1:19">
      <c r="A568" s="4" t="s">
        <v>77</v>
      </c>
      <c r="B568" s="3">
        <v>1746</v>
      </c>
      <c r="C568" s="3">
        <v>10331</v>
      </c>
      <c r="D568" s="3">
        <v>0.1</v>
      </c>
      <c r="E568" s="4" t="s">
        <v>22</v>
      </c>
      <c r="F568" s="4" t="s">
        <v>157</v>
      </c>
      <c r="G568" s="4" t="s">
        <v>158</v>
      </c>
      <c r="H568" s="4" t="s">
        <v>40</v>
      </c>
      <c r="I568" s="4" t="s">
        <v>156</v>
      </c>
      <c r="J568" s="3">
        <v>3</v>
      </c>
      <c r="K568" s="3">
        <v>25</v>
      </c>
      <c r="L568" s="3">
        <v>25</v>
      </c>
      <c r="M568" s="3">
        <v>0</v>
      </c>
      <c r="N568" s="3">
        <v>0</v>
      </c>
      <c r="O568" s="3">
        <v>0</v>
      </c>
      <c r="P568" s="3">
        <f t="shared" si="0"/>
        <v>0</v>
      </c>
      <c r="Q568" s="3">
        <f t="shared" si="1"/>
        <v>100</v>
      </c>
      <c r="R568" s="3">
        <f t="shared" si="2"/>
        <v>0</v>
      </c>
      <c r="S568" s="11"/>
    </row>
    <row r="569" ht="13.5" customHeight="1" spans="1:19">
      <c r="A569" s="4" t="s">
        <v>77</v>
      </c>
      <c r="B569" s="3">
        <v>1746</v>
      </c>
      <c r="C569" s="3">
        <v>10331</v>
      </c>
      <c r="D569" s="3">
        <v>0.1</v>
      </c>
      <c r="E569" s="4" t="s">
        <v>22</v>
      </c>
      <c r="F569" s="4" t="s">
        <v>157</v>
      </c>
      <c r="G569" s="4" t="s">
        <v>158</v>
      </c>
      <c r="H569" s="4" t="s">
        <v>40</v>
      </c>
      <c r="I569" s="4" t="s">
        <v>156</v>
      </c>
      <c r="J569" s="3">
        <v>4</v>
      </c>
      <c r="K569" s="3">
        <v>25</v>
      </c>
      <c r="L569" s="3">
        <v>25</v>
      </c>
      <c r="M569" s="3">
        <v>0</v>
      </c>
      <c r="N569" s="3">
        <v>0</v>
      </c>
      <c r="O569" s="3">
        <v>0</v>
      </c>
      <c r="P569" s="3">
        <f t="shared" si="0"/>
        <v>0</v>
      </c>
      <c r="Q569" s="3">
        <f t="shared" si="1"/>
        <v>100</v>
      </c>
      <c r="R569" s="3">
        <f t="shared" si="2"/>
        <v>0</v>
      </c>
      <c r="S569" s="11"/>
    </row>
    <row r="570" ht="13.5" customHeight="1" spans="1:21">
      <c r="A570" s="4" t="s">
        <v>46</v>
      </c>
      <c r="B570" s="3">
        <v>1270</v>
      </c>
      <c r="C570" s="3">
        <v>8757</v>
      </c>
      <c r="D570" s="3">
        <v>3</v>
      </c>
      <c r="E570" s="4" t="s">
        <v>22</v>
      </c>
      <c r="F570" s="4" t="s">
        <v>163</v>
      </c>
      <c r="G570" s="3" t="s">
        <v>164</v>
      </c>
      <c r="H570" s="4" t="s">
        <v>40</v>
      </c>
      <c r="I570" s="4" t="s">
        <v>156</v>
      </c>
      <c r="J570" s="3">
        <v>1</v>
      </c>
      <c r="K570" s="3">
        <v>20</v>
      </c>
      <c r="L570" s="3">
        <v>14</v>
      </c>
      <c r="M570" s="3">
        <v>0</v>
      </c>
      <c r="N570" s="3">
        <v>0</v>
      </c>
      <c r="O570" s="3">
        <v>6</v>
      </c>
      <c r="P570" s="3">
        <f t="shared" si="0"/>
        <v>0</v>
      </c>
      <c r="Q570" s="3">
        <f t="shared" si="1"/>
        <v>70</v>
      </c>
      <c r="R570" s="3">
        <f t="shared" si="2"/>
        <v>30</v>
      </c>
      <c r="S570" s="11">
        <f>AVERAGE(Q570:Q573)</f>
        <v>68.75</v>
      </c>
      <c r="T570" s="7">
        <f>AVERAGE(R570:R573)</f>
        <v>30</v>
      </c>
      <c r="U570" s="8">
        <f>(L570+L571+L572+L573+O570+O571+O572+O573)/(K570+K571+K572+K573)*100</f>
        <v>98.75</v>
      </c>
    </row>
    <row r="571" ht="13.5" customHeight="1" spans="1:19">
      <c r="A571" s="4" t="s">
        <v>46</v>
      </c>
      <c r="B571" s="3">
        <v>1270</v>
      </c>
      <c r="C571" s="3">
        <v>8757</v>
      </c>
      <c r="D571" s="3">
        <v>3</v>
      </c>
      <c r="E571" s="4" t="s">
        <v>22</v>
      </c>
      <c r="F571" s="4" t="s">
        <v>163</v>
      </c>
      <c r="G571" s="3" t="s">
        <v>164</v>
      </c>
      <c r="H571" s="4" t="s">
        <v>40</v>
      </c>
      <c r="I571" s="4" t="s">
        <v>156</v>
      </c>
      <c r="J571" s="3">
        <v>2</v>
      </c>
      <c r="K571" s="3">
        <v>20</v>
      </c>
      <c r="L571" s="3">
        <v>15</v>
      </c>
      <c r="M571" s="3">
        <v>0</v>
      </c>
      <c r="N571" s="3">
        <v>0</v>
      </c>
      <c r="O571" s="3">
        <v>5</v>
      </c>
      <c r="P571" s="3">
        <f t="shared" si="0"/>
        <v>0</v>
      </c>
      <c r="Q571" s="3">
        <f t="shared" si="1"/>
        <v>75</v>
      </c>
      <c r="R571" s="3">
        <f t="shared" si="2"/>
        <v>25</v>
      </c>
      <c r="S571" s="11"/>
    </row>
    <row r="572" ht="13.5" customHeight="1" spans="1:19">
      <c r="A572" s="4" t="s">
        <v>46</v>
      </c>
      <c r="B572" s="3">
        <v>1270</v>
      </c>
      <c r="C572" s="3">
        <v>8757</v>
      </c>
      <c r="D572" s="3">
        <v>3</v>
      </c>
      <c r="E572" s="4" t="s">
        <v>22</v>
      </c>
      <c r="F572" s="4" t="s">
        <v>163</v>
      </c>
      <c r="G572" s="3" t="s">
        <v>164</v>
      </c>
      <c r="H572" s="4" t="s">
        <v>40</v>
      </c>
      <c r="I572" s="4" t="s">
        <v>156</v>
      </c>
      <c r="J572" s="3">
        <v>3</v>
      </c>
      <c r="K572" s="3">
        <v>20</v>
      </c>
      <c r="L572" s="3">
        <v>14</v>
      </c>
      <c r="M572" s="3">
        <v>1</v>
      </c>
      <c r="N572" s="3">
        <v>0</v>
      </c>
      <c r="O572" s="3">
        <v>5</v>
      </c>
      <c r="P572" s="3">
        <f t="shared" si="0"/>
        <v>0</v>
      </c>
      <c r="Q572" s="3">
        <f t="shared" si="1"/>
        <v>70</v>
      </c>
      <c r="R572" s="3">
        <f t="shared" si="2"/>
        <v>25</v>
      </c>
      <c r="S572" s="11"/>
    </row>
    <row r="573" ht="13.5" customHeight="1" spans="1:19">
      <c r="A573" s="4" t="s">
        <v>46</v>
      </c>
      <c r="B573" s="3">
        <v>1270</v>
      </c>
      <c r="C573" s="3">
        <v>8757</v>
      </c>
      <c r="D573" s="3">
        <v>3</v>
      </c>
      <c r="E573" s="4" t="s">
        <v>22</v>
      </c>
      <c r="F573" s="4" t="s">
        <v>163</v>
      </c>
      <c r="G573" s="3" t="s">
        <v>164</v>
      </c>
      <c r="H573" s="4" t="s">
        <v>40</v>
      </c>
      <c r="I573" s="4" t="s">
        <v>156</v>
      </c>
      <c r="J573" s="3">
        <v>4</v>
      </c>
      <c r="K573" s="3">
        <v>20</v>
      </c>
      <c r="L573" s="3">
        <v>12</v>
      </c>
      <c r="M573" s="3">
        <v>0</v>
      </c>
      <c r="N573" s="3">
        <v>0</v>
      </c>
      <c r="O573" s="3">
        <v>8</v>
      </c>
      <c r="P573" s="3">
        <f t="shared" si="0"/>
        <v>0</v>
      </c>
      <c r="Q573" s="3">
        <f t="shared" si="1"/>
        <v>60</v>
      </c>
      <c r="R573" s="3">
        <f t="shared" si="2"/>
        <v>40</v>
      </c>
      <c r="S573" s="11"/>
    </row>
    <row r="574" ht="13.5" customHeight="1" spans="1:21">
      <c r="A574" s="4" t="s">
        <v>77</v>
      </c>
      <c r="B574" s="3">
        <v>1746</v>
      </c>
      <c r="C574" s="3">
        <v>10331</v>
      </c>
      <c r="D574" s="3">
        <v>2</v>
      </c>
      <c r="E574" s="4" t="s">
        <v>22</v>
      </c>
      <c r="F574" s="4" t="s">
        <v>161</v>
      </c>
      <c r="G574" s="4" t="s">
        <v>162</v>
      </c>
      <c r="H574" s="4" t="s">
        <v>40</v>
      </c>
      <c r="I574" s="4" t="s">
        <v>156</v>
      </c>
      <c r="J574" s="3">
        <v>1</v>
      </c>
      <c r="K574" s="3">
        <v>25</v>
      </c>
      <c r="L574" s="3">
        <v>24</v>
      </c>
      <c r="M574" s="3">
        <v>1</v>
      </c>
      <c r="N574" s="3">
        <v>0</v>
      </c>
      <c r="O574" s="3">
        <v>0</v>
      </c>
      <c r="P574" s="3">
        <f t="shared" si="0"/>
        <v>0</v>
      </c>
      <c r="Q574" s="3">
        <f t="shared" si="1"/>
        <v>96</v>
      </c>
      <c r="R574" s="3">
        <f t="shared" si="2"/>
        <v>0</v>
      </c>
      <c r="S574" s="11">
        <f>AVERAGE(Q574:Q577)</f>
        <v>96</v>
      </c>
      <c r="T574" s="7">
        <f>AVERAGE(R574:R577)</f>
        <v>0</v>
      </c>
      <c r="U574" s="8">
        <f>(L574+L575+L576+L577+O574+O575+O576+O577)/(K574+K575+K576+K577)*100</f>
        <v>96</v>
      </c>
    </row>
    <row r="575" ht="13.5" customHeight="1" spans="1:19">
      <c r="A575" s="4" t="s">
        <v>77</v>
      </c>
      <c r="B575" s="3">
        <v>1746</v>
      </c>
      <c r="C575" s="3">
        <v>10331</v>
      </c>
      <c r="D575" s="3">
        <v>2</v>
      </c>
      <c r="E575" s="4" t="s">
        <v>22</v>
      </c>
      <c r="F575" s="4" t="s">
        <v>161</v>
      </c>
      <c r="G575" s="4" t="s">
        <v>162</v>
      </c>
      <c r="H575" s="4" t="s">
        <v>40</v>
      </c>
      <c r="I575" s="4" t="s">
        <v>156</v>
      </c>
      <c r="J575" s="3">
        <v>2</v>
      </c>
      <c r="K575" s="3">
        <v>25</v>
      </c>
      <c r="L575" s="3">
        <v>22</v>
      </c>
      <c r="M575" s="3">
        <v>3</v>
      </c>
      <c r="N575" s="3">
        <v>0</v>
      </c>
      <c r="O575" s="3">
        <v>0</v>
      </c>
      <c r="P575" s="3">
        <f t="shared" si="0"/>
        <v>0</v>
      </c>
      <c r="Q575" s="3">
        <f t="shared" si="1"/>
        <v>88</v>
      </c>
      <c r="R575" s="3">
        <f t="shared" si="2"/>
        <v>0</v>
      </c>
      <c r="S575" s="11"/>
    </row>
    <row r="576" ht="13.5" customHeight="1" spans="1:19">
      <c r="A576" s="4" t="s">
        <v>77</v>
      </c>
      <c r="B576" s="3">
        <v>1746</v>
      </c>
      <c r="C576" s="3">
        <v>10331</v>
      </c>
      <c r="D576" s="3">
        <v>2</v>
      </c>
      <c r="E576" s="4" t="s">
        <v>22</v>
      </c>
      <c r="F576" s="4" t="s">
        <v>161</v>
      </c>
      <c r="G576" s="4" t="s">
        <v>162</v>
      </c>
      <c r="H576" s="4" t="s">
        <v>40</v>
      </c>
      <c r="I576" s="4" t="s">
        <v>156</v>
      </c>
      <c r="J576" s="3">
        <v>3</v>
      </c>
      <c r="K576" s="3">
        <v>25</v>
      </c>
      <c r="L576" s="3">
        <v>25</v>
      </c>
      <c r="M576" s="3">
        <v>0</v>
      </c>
      <c r="N576" s="3">
        <v>0</v>
      </c>
      <c r="O576" s="3">
        <v>0</v>
      </c>
      <c r="P576" s="3">
        <f t="shared" si="0"/>
        <v>0</v>
      </c>
      <c r="Q576" s="3">
        <f t="shared" si="1"/>
        <v>100</v>
      </c>
      <c r="R576" s="3">
        <f t="shared" si="2"/>
        <v>0</v>
      </c>
      <c r="S576" s="11"/>
    </row>
    <row r="577" ht="13.5" customHeight="1" spans="1:19">
      <c r="A577" s="4" t="s">
        <v>77</v>
      </c>
      <c r="B577" s="3">
        <v>1746</v>
      </c>
      <c r="C577" s="3">
        <v>10331</v>
      </c>
      <c r="D577" s="3">
        <v>2</v>
      </c>
      <c r="E577" s="4" t="s">
        <v>22</v>
      </c>
      <c r="F577" s="4" t="s">
        <v>161</v>
      </c>
      <c r="G577" s="4" t="s">
        <v>162</v>
      </c>
      <c r="H577" s="4" t="s">
        <v>40</v>
      </c>
      <c r="I577" s="4" t="s">
        <v>156</v>
      </c>
      <c r="J577" s="3">
        <v>4</v>
      </c>
      <c r="K577" s="3">
        <v>25</v>
      </c>
      <c r="L577" s="3">
        <v>25</v>
      </c>
      <c r="M577" s="3">
        <v>0</v>
      </c>
      <c r="N577" s="3">
        <v>0</v>
      </c>
      <c r="O577" s="3">
        <v>0</v>
      </c>
      <c r="P577" s="3">
        <f t="shared" si="0"/>
        <v>0</v>
      </c>
      <c r="Q577" s="3">
        <f t="shared" si="1"/>
        <v>100</v>
      </c>
      <c r="R577" s="3">
        <f t="shared" si="2"/>
        <v>0</v>
      </c>
      <c r="S577" s="11"/>
    </row>
    <row r="578" ht="13.5" customHeight="1" spans="1:21">
      <c r="A578" s="4" t="s">
        <v>121</v>
      </c>
      <c r="B578" s="3">
        <v>1017</v>
      </c>
      <c r="C578" s="3">
        <v>5556</v>
      </c>
      <c r="D578" s="3">
        <v>1</v>
      </c>
      <c r="E578" s="4" t="s">
        <v>22</v>
      </c>
      <c r="F578" s="4" t="s">
        <v>161</v>
      </c>
      <c r="G578" s="4" t="s">
        <v>162</v>
      </c>
      <c r="H578" s="4" t="s">
        <v>40</v>
      </c>
      <c r="I578" s="4" t="s">
        <v>156</v>
      </c>
      <c r="J578" s="3">
        <v>1</v>
      </c>
      <c r="K578" s="3">
        <v>25</v>
      </c>
      <c r="L578" s="3">
        <v>20</v>
      </c>
      <c r="M578" s="3">
        <v>5</v>
      </c>
      <c r="N578" s="3">
        <v>0</v>
      </c>
      <c r="O578" s="3">
        <v>0</v>
      </c>
      <c r="P578" s="3">
        <f t="shared" si="0"/>
        <v>0</v>
      </c>
      <c r="Q578" s="3">
        <f t="shared" si="1"/>
        <v>80</v>
      </c>
      <c r="R578" s="3">
        <f t="shared" si="2"/>
        <v>0</v>
      </c>
      <c r="S578" s="11">
        <f>AVERAGE(Q578:Q581)</f>
        <v>84.4782608695652</v>
      </c>
      <c r="T578" s="7">
        <f>AVERAGE(R578:R581)</f>
        <v>0</v>
      </c>
      <c r="U578" s="8">
        <f>(L578+L579+L580+L581+O578+O579+O580+O581)/(K578+K579+K580+K581)*100</f>
        <v>83</v>
      </c>
    </row>
    <row r="579" ht="13.5" customHeight="1" spans="1:19">
      <c r="A579" s="4" t="s">
        <v>121</v>
      </c>
      <c r="B579" s="3">
        <v>1017</v>
      </c>
      <c r="C579" s="3">
        <v>5556</v>
      </c>
      <c r="D579" s="3">
        <v>1</v>
      </c>
      <c r="E579" s="4" t="s">
        <v>22</v>
      </c>
      <c r="F579" s="4" t="s">
        <v>161</v>
      </c>
      <c r="G579" s="4" t="s">
        <v>162</v>
      </c>
      <c r="H579" s="4" t="s">
        <v>40</v>
      </c>
      <c r="I579" s="4" t="s">
        <v>156</v>
      </c>
      <c r="J579" s="3">
        <v>2</v>
      </c>
      <c r="K579" s="3">
        <v>25</v>
      </c>
      <c r="L579" s="3">
        <v>23</v>
      </c>
      <c r="M579" s="3">
        <v>2</v>
      </c>
      <c r="N579" s="3">
        <v>0</v>
      </c>
      <c r="O579" s="3">
        <v>0</v>
      </c>
      <c r="P579" s="3">
        <f t="shared" si="0"/>
        <v>0</v>
      </c>
      <c r="Q579" s="3">
        <f t="shared" si="1"/>
        <v>92</v>
      </c>
      <c r="R579" s="3">
        <f t="shared" si="2"/>
        <v>0</v>
      </c>
      <c r="S579" s="11"/>
    </row>
    <row r="580" ht="13.5" customHeight="1" spans="1:19">
      <c r="A580" s="4" t="s">
        <v>121</v>
      </c>
      <c r="B580" s="3">
        <v>1017</v>
      </c>
      <c r="C580" s="3">
        <v>5556</v>
      </c>
      <c r="D580" s="3">
        <v>1</v>
      </c>
      <c r="E580" s="4" t="s">
        <v>22</v>
      </c>
      <c r="F580" s="4" t="s">
        <v>161</v>
      </c>
      <c r="G580" s="4" t="s">
        <v>162</v>
      </c>
      <c r="H580" s="4" t="s">
        <v>40</v>
      </c>
      <c r="I580" s="4" t="s">
        <v>156</v>
      </c>
      <c r="J580" s="3">
        <v>3</v>
      </c>
      <c r="K580" s="3">
        <v>25</v>
      </c>
      <c r="L580" s="3">
        <v>23</v>
      </c>
      <c r="M580" s="3">
        <v>2</v>
      </c>
      <c r="N580" s="3">
        <v>0</v>
      </c>
      <c r="O580" s="3">
        <v>0</v>
      </c>
      <c r="P580" s="3">
        <f t="shared" si="0"/>
        <v>0</v>
      </c>
      <c r="Q580" s="3">
        <f t="shared" si="1"/>
        <v>92</v>
      </c>
      <c r="R580" s="3">
        <f t="shared" si="2"/>
        <v>0</v>
      </c>
      <c r="S580" s="11"/>
    </row>
    <row r="581" ht="13.5" customHeight="1" spans="1:19">
      <c r="A581" s="4" t="s">
        <v>121</v>
      </c>
      <c r="B581" s="3">
        <v>1017</v>
      </c>
      <c r="C581" s="3">
        <v>5556</v>
      </c>
      <c r="D581" s="3">
        <v>1</v>
      </c>
      <c r="E581" s="4" t="s">
        <v>22</v>
      </c>
      <c r="F581" s="4" t="s">
        <v>161</v>
      </c>
      <c r="G581" s="4" t="s">
        <v>162</v>
      </c>
      <c r="H581" s="4" t="s">
        <v>40</v>
      </c>
      <c r="I581" s="4" t="s">
        <v>156</v>
      </c>
      <c r="J581" s="3">
        <v>4</v>
      </c>
      <c r="K581" s="3">
        <v>25</v>
      </c>
      <c r="L581" s="3">
        <v>17</v>
      </c>
      <c r="M581" s="3">
        <v>6</v>
      </c>
      <c r="N581" s="3">
        <v>2</v>
      </c>
      <c r="O581" s="3">
        <v>0</v>
      </c>
      <c r="P581" s="3">
        <f t="shared" si="0"/>
        <v>0</v>
      </c>
      <c r="Q581" s="3">
        <f t="shared" si="1"/>
        <v>73.9130434782609</v>
      </c>
      <c r="R581" s="3">
        <f t="shared" si="2"/>
        <v>0</v>
      </c>
      <c r="S581" s="11"/>
    </row>
    <row r="582" ht="13.5" customHeight="1" spans="1:21">
      <c r="A582" s="4" t="s">
        <v>85</v>
      </c>
      <c r="B582" s="3">
        <v>1167</v>
      </c>
      <c r="C582" s="3">
        <v>7918</v>
      </c>
      <c r="D582" s="3">
        <v>1</v>
      </c>
      <c r="E582" s="4" t="s">
        <v>22</v>
      </c>
      <c r="F582" s="4" t="s">
        <v>161</v>
      </c>
      <c r="G582" s="4" t="s">
        <v>162</v>
      </c>
      <c r="H582" s="4" t="s">
        <v>40</v>
      </c>
      <c r="I582" s="4" t="s">
        <v>156</v>
      </c>
      <c r="J582" s="3">
        <v>1</v>
      </c>
      <c r="K582" s="3">
        <v>25</v>
      </c>
      <c r="L582" s="3">
        <v>21</v>
      </c>
      <c r="M582" s="3">
        <v>4</v>
      </c>
      <c r="N582" s="3">
        <v>0</v>
      </c>
      <c r="O582" s="3">
        <v>0</v>
      </c>
      <c r="P582" s="3">
        <f t="shared" si="0"/>
        <v>0</v>
      </c>
      <c r="Q582" s="3">
        <f t="shared" si="1"/>
        <v>84</v>
      </c>
      <c r="R582" s="3">
        <f t="shared" si="2"/>
        <v>0</v>
      </c>
      <c r="S582" s="11">
        <f>AVERAGE(Q582:Q585)</f>
        <v>81.875</v>
      </c>
      <c r="T582" s="7">
        <f>AVERAGE(R582:R585)</f>
        <v>0</v>
      </c>
      <c r="U582" s="8">
        <f>(L582+L583+L584+L585+O582+O583+O584+O585)/(K582+K583+K584+K585)*100</f>
        <v>81</v>
      </c>
    </row>
    <row r="583" ht="13.5" customHeight="1" spans="1:19">
      <c r="A583" s="4" t="s">
        <v>85</v>
      </c>
      <c r="B583" s="3">
        <v>1167</v>
      </c>
      <c r="C583" s="3">
        <v>7918</v>
      </c>
      <c r="D583" s="3">
        <v>1</v>
      </c>
      <c r="E583" s="4" t="s">
        <v>22</v>
      </c>
      <c r="F583" s="4" t="s">
        <v>161</v>
      </c>
      <c r="G583" s="4" t="s">
        <v>162</v>
      </c>
      <c r="H583" s="4" t="s">
        <v>40</v>
      </c>
      <c r="I583" s="4" t="s">
        <v>156</v>
      </c>
      <c r="J583" s="3">
        <v>2</v>
      </c>
      <c r="K583" s="3">
        <v>25</v>
      </c>
      <c r="L583" s="3">
        <v>21</v>
      </c>
      <c r="M583" s="3">
        <v>3</v>
      </c>
      <c r="N583" s="3">
        <v>1</v>
      </c>
      <c r="O583" s="3">
        <v>0</v>
      </c>
      <c r="P583" s="3">
        <f t="shared" si="0"/>
        <v>0</v>
      </c>
      <c r="Q583" s="3">
        <f t="shared" si="1"/>
        <v>87.5</v>
      </c>
      <c r="R583" s="3">
        <f t="shared" si="2"/>
        <v>0</v>
      </c>
      <c r="S583" s="11"/>
    </row>
    <row r="584" ht="13.5" customHeight="1" spans="1:19">
      <c r="A584" s="4" t="s">
        <v>85</v>
      </c>
      <c r="B584" s="3">
        <v>1167</v>
      </c>
      <c r="C584" s="3">
        <v>7918</v>
      </c>
      <c r="D584" s="3">
        <v>1</v>
      </c>
      <c r="E584" s="4" t="s">
        <v>22</v>
      </c>
      <c r="F584" s="4" t="s">
        <v>161</v>
      </c>
      <c r="G584" s="4" t="s">
        <v>162</v>
      </c>
      <c r="H584" s="4" t="s">
        <v>40</v>
      </c>
      <c r="I584" s="4" t="s">
        <v>156</v>
      </c>
      <c r="J584" s="3">
        <v>3</v>
      </c>
      <c r="K584" s="3">
        <v>25</v>
      </c>
      <c r="L584" s="3">
        <v>20</v>
      </c>
      <c r="M584" s="3">
        <v>5</v>
      </c>
      <c r="N584" s="3">
        <v>0</v>
      </c>
      <c r="O584" s="3">
        <v>0</v>
      </c>
      <c r="P584" s="3">
        <f t="shared" si="0"/>
        <v>0</v>
      </c>
      <c r="Q584" s="3">
        <f t="shared" si="1"/>
        <v>80</v>
      </c>
      <c r="R584" s="3">
        <f t="shared" si="2"/>
        <v>0</v>
      </c>
      <c r="S584" s="11"/>
    </row>
    <row r="585" ht="13.5" customHeight="1" spans="1:19">
      <c r="A585" s="4" t="s">
        <v>85</v>
      </c>
      <c r="B585" s="3">
        <v>1167</v>
      </c>
      <c r="C585" s="3">
        <v>7918</v>
      </c>
      <c r="D585" s="3">
        <v>1</v>
      </c>
      <c r="E585" s="4" t="s">
        <v>22</v>
      </c>
      <c r="F585" s="4" t="s">
        <v>161</v>
      </c>
      <c r="G585" s="4" t="s">
        <v>162</v>
      </c>
      <c r="H585" s="4" t="s">
        <v>40</v>
      </c>
      <c r="I585" s="4" t="s">
        <v>156</v>
      </c>
      <c r="J585" s="3">
        <v>4</v>
      </c>
      <c r="K585" s="3">
        <v>25</v>
      </c>
      <c r="L585" s="3">
        <v>19</v>
      </c>
      <c r="M585" s="3">
        <v>6</v>
      </c>
      <c r="N585" s="3">
        <v>0</v>
      </c>
      <c r="O585" s="3">
        <v>0</v>
      </c>
      <c r="P585" s="3">
        <f t="shared" si="0"/>
        <v>0</v>
      </c>
      <c r="Q585" s="3">
        <f t="shared" si="1"/>
        <v>76</v>
      </c>
      <c r="R585" s="3">
        <f t="shared" si="2"/>
        <v>0</v>
      </c>
      <c r="S585" s="11"/>
    </row>
    <row r="586" ht="13.5" customHeight="1" spans="1:21">
      <c r="A586" s="4" t="s">
        <v>60</v>
      </c>
      <c r="B586" s="3">
        <v>1330</v>
      </c>
      <c r="C586" s="3">
        <v>9133</v>
      </c>
      <c r="D586" s="3">
        <v>1</v>
      </c>
      <c r="E586" s="4" t="s">
        <v>22</v>
      </c>
      <c r="F586" s="4" t="s">
        <v>161</v>
      </c>
      <c r="G586" s="4" t="s">
        <v>162</v>
      </c>
      <c r="H586" s="4" t="s">
        <v>40</v>
      </c>
      <c r="I586" s="4" t="s">
        <v>156</v>
      </c>
      <c r="J586" s="3">
        <v>1</v>
      </c>
      <c r="K586" s="3">
        <v>25</v>
      </c>
      <c r="L586" s="3">
        <v>12</v>
      </c>
      <c r="M586" s="3">
        <v>8</v>
      </c>
      <c r="N586" s="3">
        <v>5</v>
      </c>
      <c r="O586" s="3">
        <v>0</v>
      </c>
      <c r="P586" s="3">
        <f t="shared" si="0"/>
        <v>0</v>
      </c>
      <c r="Q586" s="3">
        <f t="shared" si="1"/>
        <v>60</v>
      </c>
      <c r="R586" s="3">
        <f t="shared" si="2"/>
        <v>0</v>
      </c>
      <c r="S586" s="11">
        <f>AVERAGE(Q586:Q589)</f>
        <v>72.2916666666667</v>
      </c>
      <c r="T586" s="7">
        <f>AVERAGE(R586:R589)</f>
        <v>0</v>
      </c>
      <c r="U586" s="8">
        <f>(L586+L587+L588+L589+O586+O587+O588+O589)/(K586+K587+K588+K589)*100</f>
        <v>65</v>
      </c>
    </row>
    <row r="587" ht="13.5" customHeight="1" spans="1:19">
      <c r="A587" s="4" t="s">
        <v>60</v>
      </c>
      <c r="B587" s="3">
        <v>1330</v>
      </c>
      <c r="C587" s="3">
        <v>9133</v>
      </c>
      <c r="D587" s="3">
        <v>1</v>
      </c>
      <c r="E587" s="4" t="s">
        <v>22</v>
      </c>
      <c r="F587" s="4" t="s">
        <v>161</v>
      </c>
      <c r="G587" s="4" t="s">
        <v>162</v>
      </c>
      <c r="H587" s="4" t="s">
        <v>40</v>
      </c>
      <c r="I587" s="4" t="s">
        <v>156</v>
      </c>
      <c r="J587" s="3">
        <v>2</v>
      </c>
      <c r="K587" s="3">
        <v>25</v>
      </c>
      <c r="L587" s="3">
        <v>19</v>
      </c>
      <c r="M587" s="3">
        <v>5</v>
      </c>
      <c r="N587" s="3">
        <v>1</v>
      </c>
      <c r="O587" s="3">
        <v>0</v>
      </c>
      <c r="P587" s="3">
        <f t="shared" si="0"/>
        <v>0</v>
      </c>
      <c r="Q587" s="3">
        <f t="shared" si="1"/>
        <v>79.1666666666667</v>
      </c>
      <c r="R587" s="3">
        <f t="shared" si="2"/>
        <v>0</v>
      </c>
      <c r="S587" s="11"/>
    </row>
    <row r="588" ht="13.5" customHeight="1" spans="1:19">
      <c r="A588" s="4" t="s">
        <v>60</v>
      </c>
      <c r="B588" s="3">
        <v>1330</v>
      </c>
      <c r="C588" s="3">
        <v>9133</v>
      </c>
      <c r="D588" s="3">
        <v>1</v>
      </c>
      <c r="E588" s="4" t="s">
        <v>22</v>
      </c>
      <c r="F588" s="4" t="s">
        <v>161</v>
      </c>
      <c r="G588" s="4" t="s">
        <v>162</v>
      </c>
      <c r="H588" s="4" t="s">
        <v>40</v>
      </c>
      <c r="I588" s="4" t="s">
        <v>156</v>
      </c>
      <c r="J588" s="3">
        <v>3</v>
      </c>
      <c r="K588" s="3">
        <v>25</v>
      </c>
      <c r="L588" s="3">
        <v>14</v>
      </c>
      <c r="M588" s="3">
        <v>7</v>
      </c>
      <c r="N588" s="3">
        <v>4</v>
      </c>
      <c r="O588" s="3">
        <v>0</v>
      </c>
      <c r="P588" s="3">
        <f t="shared" si="0"/>
        <v>0</v>
      </c>
      <c r="Q588" s="3">
        <f t="shared" si="1"/>
        <v>66.6666666666667</v>
      </c>
      <c r="R588" s="3">
        <f t="shared" si="2"/>
        <v>0</v>
      </c>
      <c r="S588" s="11"/>
    </row>
    <row r="589" ht="13.5" customHeight="1" spans="1:19">
      <c r="A589" s="4" t="s">
        <v>60</v>
      </c>
      <c r="B589" s="3">
        <v>1330</v>
      </c>
      <c r="C589" s="3">
        <v>9133</v>
      </c>
      <c r="D589" s="3">
        <v>1</v>
      </c>
      <c r="E589" s="4" t="s">
        <v>22</v>
      </c>
      <c r="F589" s="4" t="s">
        <v>161</v>
      </c>
      <c r="G589" s="4" t="s">
        <v>162</v>
      </c>
      <c r="H589" s="4" t="s">
        <v>40</v>
      </c>
      <c r="I589" s="4" t="s">
        <v>156</v>
      </c>
      <c r="J589" s="3">
        <v>4</v>
      </c>
      <c r="K589" s="3">
        <v>25</v>
      </c>
      <c r="L589" s="3">
        <v>20</v>
      </c>
      <c r="M589" s="3">
        <v>4</v>
      </c>
      <c r="N589" s="3">
        <v>1</v>
      </c>
      <c r="O589" s="3">
        <v>0</v>
      </c>
      <c r="P589" s="3">
        <f t="shared" si="0"/>
        <v>0</v>
      </c>
      <c r="Q589" s="3">
        <f t="shared" si="1"/>
        <v>83.3333333333333</v>
      </c>
      <c r="R589" s="3">
        <f t="shared" si="2"/>
        <v>0</v>
      </c>
      <c r="S589" s="11"/>
    </row>
    <row r="590" ht="13.5" customHeight="1" spans="1:21">
      <c r="A590" s="4" t="s">
        <v>36</v>
      </c>
      <c r="B590" s="3">
        <v>1294</v>
      </c>
      <c r="C590" s="3">
        <v>8842</v>
      </c>
      <c r="D590" s="3">
        <v>3</v>
      </c>
      <c r="E590" s="4" t="s">
        <v>22</v>
      </c>
      <c r="F590" s="4" t="s">
        <v>161</v>
      </c>
      <c r="G590" s="4" t="s">
        <v>162</v>
      </c>
      <c r="H590" s="4" t="s">
        <v>40</v>
      </c>
      <c r="I590" s="4" t="s">
        <v>156</v>
      </c>
      <c r="J590" s="3">
        <v>1</v>
      </c>
      <c r="K590" s="3">
        <v>25</v>
      </c>
      <c r="L590" s="3">
        <v>18</v>
      </c>
      <c r="M590" s="3">
        <v>3</v>
      </c>
      <c r="N590" s="3">
        <v>4</v>
      </c>
      <c r="O590" s="3">
        <v>0</v>
      </c>
      <c r="P590" s="3">
        <f t="shared" si="0"/>
        <v>0</v>
      </c>
      <c r="Q590" s="3">
        <f t="shared" si="1"/>
        <v>85.7142857142857</v>
      </c>
      <c r="R590" s="3">
        <f t="shared" si="2"/>
        <v>0</v>
      </c>
      <c r="S590" s="11">
        <f>AVERAGE(Q590:Q593)</f>
        <v>89.167701863354</v>
      </c>
      <c r="T590" s="7">
        <f>AVERAGE(R590:R593)</f>
        <v>0</v>
      </c>
      <c r="U590" s="8">
        <f>(L590+L591+L592+L593+O590+O591+O592+O593)/(K590+K591+K592+K593)*100</f>
        <v>84</v>
      </c>
    </row>
    <row r="591" ht="13.5" customHeight="1" spans="1:19">
      <c r="A591" s="4" t="s">
        <v>36</v>
      </c>
      <c r="B591" s="3">
        <v>1294</v>
      </c>
      <c r="C591" s="3">
        <v>8842</v>
      </c>
      <c r="D591" s="3">
        <v>3</v>
      </c>
      <c r="E591" s="4" t="s">
        <v>22</v>
      </c>
      <c r="F591" s="4" t="s">
        <v>161</v>
      </c>
      <c r="G591" s="4" t="s">
        <v>162</v>
      </c>
      <c r="H591" s="4" t="s">
        <v>40</v>
      </c>
      <c r="I591" s="4" t="s">
        <v>156</v>
      </c>
      <c r="J591" s="3">
        <v>2</v>
      </c>
      <c r="K591" s="3">
        <v>25</v>
      </c>
      <c r="L591" s="3">
        <v>24</v>
      </c>
      <c r="M591" s="3">
        <v>1</v>
      </c>
      <c r="N591" s="3">
        <v>0</v>
      </c>
      <c r="O591" s="3">
        <v>0</v>
      </c>
      <c r="P591" s="3">
        <f t="shared" si="0"/>
        <v>0</v>
      </c>
      <c r="Q591" s="3">
        <f t="shared" si="1"/>
        <v>96</v>
      </c>
      <c r="R591" s="3">
        <f t="shared" si="2"/>
        <v>0</v>
      </c>
      <c r="S591" s="11"/>
    </row>
    <row r="592" ht="13.5" customHeight="1" spans="1:19">
      <c r="A592" s="4" t="s">
        <v>36</v>
      </c>
      <c r="B592" s="3">
        <v>1294</v>
      </c>
      <c r="C592" s="3">
        <v>8842</v>
      </c>
      <c r="D592" s="3">
        <v>3</v>
      </c>
      <c r="E592" s="4" t="s">
        <v>22</v>
      </c>
      <c r="F592" s="4" t="s">
        <v>161</v>
      </c>
      <c r="G592" s="4" t="s">
        <v>162</v>
      </c>
      <c r="H592" s="4" t="s">
        <v>40</v>
      </c>
      <c r="I592" s="4" t="s">
        <v>156</v>
      </c>
      <c r="J592" s="3">
        <v>3</v>
      </c>
      <c r="K592" s="3">
        <v>25</v>
      </c>
      <c r="L592" s="3">
        <v>22</v>
      </c>
      <c r="M592" s="3">
        <v>3</v>
      </c>
      <c r="N592" s="3">
        <v>0</v>
      </c>
      <c r="O592" s="3">
        <v>0</v>
      </c>
      <c r="P592" s="3">
        <f t="shared" si="0"/>
        <v>0</v>
      </c>
      <c r="Q592" s="3">
        <f t="shared" si="1"/>
        <v>88</v>
      </c>
      <c r="R592" s="3">
        <f t="shared" si="2"/>
        <v>0</v>
      </c>
      <c r="S592" s="11"/>
    </row>
    <row r="593" ht="13.5" customHeight="1" spans="1:19">
      <c r="A593" s="4" t="s">
        <v>36</v>
      </c>
      <c r="B593" s="3">
        <v>1294</v>
      </c>
      <c r="C593" s="3">
        <v>8842</v>
      </c>
      <c r="D593" s="3">
        <v>3</v>
      </c>
      <c r="E593" s="4" t="s">
        <v>22</v>
      </c>
      <c r="F593" s="4" t="s">
        <v>161</v>
      </c>
      <c r="G593" s="4" t="s">
        <v>162</v>
      </c>
      <c r="H593" s="4" t="s">
        <v>40</v>
      </c>
      <c r="I593" s="4" t="s">
        <v>156</v>
      </c>
      <c r="J593" s="3">
        <v>4</v>
      </c>
      <c r="K593" s="3">
        <v>25</v>
      </c>
      <c r="L593" s="3">
        <v>20</v>
      </c>
      <c r="M593" s="3">
        <v>3</v>
      </c>
      <c r="N593" s="3">
        <v>2</v>
      </c>
      <c r="O593" s="3">
        <v>0</v>
      </c>
      <c r="P593" s="3">
        <f t="shared" si="0"/>
        <v>0</v>
      </c>
      <c r="Q593" s="3">
        <f t="shared" si="1"/>
        <v>86.9565217391304</v>
      </c>
      <c r="R593" s="3">
        <f t="shared" si="2"/>
        <v>0</v>
      </c>
      <c r="S593" s="11"/>
    </row>
    <row r="594" ht="13.5" customHeight="1" spans="1:21">
      <c r="A594" s="4" t="s">
        <v>86</v>
      </c>
      <c r="B594" s="3">
        <v>1097</v>
      </c>
      <c r="C594" s="3">
        <v>6679</v>
      </c>
      <c r="D594" s="3">
        <v>0.1</v>
      </c>
      <c r="E594" s="4" t="s">
        <v>22</v>
      </c>
      <c r="F594" s="4" t="s">
        <v>159</v>
      </c>
      <c r="G594" s="3" t="s">
        <v>160</v>
      </c>
      <c r="H594" s="4" t="s">
        <v>40</v>
      </c>
      <c r="I594" s="4" t="s">
        <v>156</v>
      </c>
      <c r="J594" s="3">
        <v>1</v>
      </c>
      <c r="K594" s="3">
        <v>25</v>
      </c>
      <c r="L594" s="3">
        <v>19</v>
      </c>
      <c r="M594" s="3">
        <v>6</v>
      </c>
      <c r="N594" s="3">
        <v>0</v>
      </c>
      <c r="O594" s="3">
        <v>0</v>
      </c>
      <c r="P594" s="3">
        <f t="shared" si="0"/>
        <v>0</v>
      </c>
      <c r="Q594" s="3">
        <f t="shared" si="1"/>
        <v>76</v>
      </c>
      <c r="R594" s="3">
        <f t="shared" si="2"/>
        <v>0</v>
      </c>
      <c r="S594" s="11">
        <f>AVERAGE(Q594:Q597)</f>
        <v>83</v>
      </c>
      <c r="T594" s="7">
        <f>AVERAGE(R594:R597)</f>
        <v>0</v>
      </c>
      <c r="U594" s="8">
        <f>(L594+L595+L596+L597+O594+O595+O596+O597)/(K594+K595+K596+K597)*100</f>
        <v>83</v>
      </c>
    </row>
    <row r="595" ht="13.5" customHeight="1" spans="1:19">
      <c r="A595" s="4" t="s">
        <v>86</v>
      </c>
      <c r="B595" s="3">
        <v>1097</v>
      </c>
      <c r="C595" s="3">
        <v>6679</v>
      </c>
      <c r="D595" s="3">
        <v>0.1</v>
      </c>
      <c r="E595" s="4" t="s">
        <v>22</v>
      </c>
      <c r="F595" s="4" t="s">
        <v>159</v>
      </c>
      <c r="G595" s="3" t="s">
        <v>160</v>
      </c>
      <c r="H595" s="4" t="s">
        <v>40</v>
      </c>
      <c r="I595" s="4" t="s">
        <v>156</v>
      </c>
      <c r="J595" s="3">
        <v>2</v>
      </c>
      <c r="K595" s="3">
        <v>25</v>
      </c>
      <c r="L595" s="3">
        <v>24</v>
      </c>
      <c r="M595" s="3">
        <v>1</v>
      </c>
      <c r="N595" s="3">
        <v>0</v>
      </c>
      <c r="O595" s="3">
        <v>0</v>
      </c>
      <c r="P595" s="3">
        <f t="shared" si="0"/>
        <v>0</v>
      </c>
      <c r="Q595" s="3">
        <f t="shared" si="1"/>
        <v>96</v>
      </c>
      <c r="R595" s="3">
        <f t="shared" si="2"/>
        <v>0</v>
      </c>
      <c r="S595" s="11"/>
    </row>
    <row r="596" ht="13.5" customHeight="1" spans="1:19">
      <c r="A596" s="4" t="s">
        <v>86</v>
      </c>
      <c r="B596" s="3">
        <v>1097</v>
      </c>
      <c r="C596" s="3">
        <v>6679</v>
      </c>
      <c r="D596" s="3">
        <v>0.1</v>
      </c>
      <c r="E596" s="4" t="s">
        <v>22</v>
      </c>
      <c r="F596" s="4" t="s">
        <v>159</v>
      </c>
      <c r="G596" s="3" t="s">
        <v>160</v>
      </c>
      <c r="H596" s="4" t="s">
        <v>40</v>
      </c>
      <c r="I596" s="4" t="s">
        <v>156</v>
      </c>
      <c r="J596" s="3">
        <v>3</v>
      </c>
      <c r="K596" s="3">
        <v>25</v>
      </c>
      <c r="L596" s="3">
        <v>20</v>
      </c>
      <c r="M596" s="3">
        <v>5</v>
      </c>
      <c r="N596" s="3">
        <v>0</v>
      </c>
      <c r="O596" s="3">
        <v>0</v>
      </c>
      <c r="P596" s="3">
        <f t="shared" si="0"/>
        <v>0</v>
      </c>
      <c r="Q596" s="3">
        <f t="shared" si="1"/>
        <v>80</v>
      </c>
      <c r="R596" s="3">
        <f t="shared" si="2"/>
        <v>0</v>
      </c>
      <c r="S596" s="11"/>
    </row>
    <row r="597" ht="13.5" customHeight="1" spans="1:19">
      <c r="A597" s="4" t="s">
        <v>86</v>
      </c>
      <c r="B597" s="3">
        <v>1097</v>
      </c>
      <c r="C597" s="3">
        <v>6679</v>
      </c>
      <c r="D597" s="3">
        <v>0.1</v>
      </c>
      <c r="E597" s="4" t="s">
        <v>22</v>
      </c>
      <c r="F597" s="4" t="s">
        <v>159</v>
      </c>
      <c r="G597" s="3" t="s">
        <v>160</v>
      </c>
      <c r="H597" s="4" t="s">
        <v>40</v>
      </c>
      <c r="I597" s="4" t="s">
        <v>156</v>
      </c>
      <c r="J597" s="3">
        <v>4</v>
      </c>
      <c r="K597" s="3">
        <v>25</v>
      </c>
      <c r="L597" s="3">
        <v>20</v>
      </c>
      <c r="M597" s="3">
        <v>5</v>
      </c>
      <c r="N597" s="3">
        <v>0</v>
      </c>
      <c r="O597" s="3">
        <v>0</v>
      </c>
      <c r="P597" s="3">
        <f t="shared" si="0"/>
        <v>0</v>
      </c>
      <c r="Q597" s="3">
        <f t="shared" si="1"/>
        <v>80</v>
      </c>
      <c r="R597" s="3">
        <f t="shared" si="2"/>
        <v>0</v>
      </c>
      <c r="S597" s="11"/>
    </row>
    <row r="598" ht="13.5" customHeight="1" spans="1:21">
      <c r="A598" s="4" t="s">
        <v>46</v>
      </c>
      <c r="B598" s="3">
        <v>1270</v>
      </c>
      <c r="C598" s="3">
        <v>8757</v>
      </c>
      <c r="D598" s="3">
        <v>1</v>
      </c>
      <c r="E598" s="4" t="s">
        <v>22</v>
      </c>
      <c r="F598" s="4" t="s">
        <v>161</v>
      </c>
      <c r="G598" s="4" t="s">
        <v>162</v>
      </c>
      <c r="H598" s="4" t="s">
        <v>40</v>
      </c>
      <c r="I598" s="4" t="s">
        <v>156</v>
      </c>
      <c r="J598" s="3">
        <v>1</v>
      </c>
      <c r="K598" s="3">
        <v>25</v>
      </c>
      <c r="L598" s="3">
        <v>23</v>
      </c>
      <c r="M598" s="3">
        <v>2</v>
      </c>
      <c r="N598" s="3">
        <v>0</v>
      </c>
      <c r="O598" s="3">
        <v>0</v>
      </c>
      <c r="P598" s="3">
        <f t="shared" si="0"/>
        <v>0</v>
      </c>
      <c r="Q598" s="3">
        <f t="shared" si="1"/>
        <v>92</v>
      </c>
      <c r="R598" s="3">
        <f t="shared" si="2"/>
        <v>0</v>
      </c>
      <c r="S598" s="11">
        <f>AVERAGE(Q598:Q601)</f>
        <v>93.9166666666667</v>
      </c>
      <c r="T598" s="7">
        <f>AVERAGE(R598:R601)</f>
        <v>0</v>
      </c>
      <c r="U598" s="8">
        <f>(L598+L599+L600+L601+O598+O599+O600+O601)/(K598+K599+K600+K601)*100</f>
        <v>93</v>
      </c>
    </row>
    <row r="599" ht="13.5" customHeight="1" spans="1:19">
      <c r="A599" s="4" t="s">
        <v>46</v>
      </c>
      <c r="B599" s="3">
        <v>1270</v>
      </c>
      <c r="C599" s="3">
        <v>8757</v>
      </c>
      <c r="D599" s="3">
        <v>1</v>
      </c>
      <c r="E599" s="4" t="s">
        <v>22</v>
      </c>
      <c r="F599" s="4" t="s">
        <v>161</v>
      </c>
      <c r="G599" s="4" t="s">
        <v>162</v>
      </c>
      <c r="H599" s="4" t="s">
        <v>40</v>
      </c>
      <c r="I599" s="4" t="s">
        <v>156</v>
      </c>
      <c r="J599" s="3">
        <v>2</v>
      </c>
      <c r="K599" s="3">
        <v>25</v>
      </c>
      <c r="L599" s="3">
        <v>22</v>
      </c>
      <c r="M599" s="3">
        <v>2</v>
      </c>
      <c r="N599" s="3">
        <v>1</v>
      </c>
      <c r="O599" s="3">
        <v>0</v>
      </c>
      <c r="P599" s="3">
        <f t="shared" si="0"/>
        <v>0</v>
      </c>
      <c r="Q599" s="3">
        <f t="shared" si="1"/>
        <v>91.6666666666667</v>
      </c>
      <c r="R599" s="3">
        <f t="shared" si="2"/>
        <v>0</v>
      </c>
      <c r="S599" s="11"/>
    </row>
    <row r="600" ht="13.5" customHeight="1" spans="1:19">
      <c r="A600" s="4" t="s">
        <v>46</v>
      </c>
      <c r="B600" s="3">
        <v>1270</v>
      </c>
      <c r="C600" s="3">
        <v>8757</v>
      </c>
      <c r="D600" s="3">
        <v>1</v>
      </c>
      <c r="E600" s="4" t="s">
        <v>22</v>
      </c>
      <c r="F600" s="4" t="s">
        <v>161</v>
      </c>
      <c r="G600" s="4" t="s">
        <v>162</v>
      </c>
      <c r="H600" s="4" t="s">
        <v>40</v>
      </c>
      <c r="I600" s="4" t="s">
        <v>156</v>
      </c>
      <c r="J600" s="3">
        <v>3</v>
      </c>
      <c r="K600" s="3">
        <v>25</v>
      </c>
      <c r="L600" s="3">
        <v>24</v>
      </c>
      <c r="M600" s="3">
        <v>1</v>
      </c>
      <c r="N600" s="3">
        <v>0</v>
      </c>
      <c r="O600" s="3">
        <v>0</v>
      </c>
      <c r="P600" s="3">
        <f t="shared" si="0"/>
        <v>0</v>
      </c>
      <c r="Q600" s="3">
        <f t="shared" si="1"/>
        <v>96</v>
      </c>
      <c r="R600" s="3">
        <f t="shared" si="2"/>
        <v>0</v>
      </c>
      <c r="S600" s="11"/>
    </row>
    <row r="601" ht="13.5" customHeight="1" spans="1:19">
      <c r="A601" s="4" t="s">
        <v>46</v>
      </c>
      <c r="B601" s="3">
        <v>1270</v>
      </c>
      <c r="C601" s="3">
        <v>8757</v>
      </c>
      <c r="D601" s="3">
        <v>1</v>
      </c>
      <c r="E601" s="4" t="s">
        <v>22</v>
      </c>
      <c r="F601" s="4" t="s">
        <v>161</v>
      </c>
      <c r="G601" s="4" t="s">
        <v>162</v>
      </c>
      <c r="H601" s="4" t="s">
        <v>40</v>
      </c>
      <c r="I601" s="4" t="s">
        <v>156</v>
      </c>
      <c r="J601" s="3">
        <v>4</v>
      </c>
      <c r="K601" s="3">
        <v>25</v>
      </c>
      <c r="L601" s="3">
        <v>24</v>
      </c>
      <c r="M601" s="3">
        <v>1</v>
      </c>
      <c r="N601" s="3">
        <v>0</v>
      </c>
      <c r="O601" s="3">
        <v>0</v>
      </c>
      <c r="P601" s="3">
        <f t="shared" si="0"/>
        <v>0</v>
      </c>
      <c r="Q601" s="3">
        <f t="shared" si="1"/>
        <v>96</v>
      </c>
      <c r="R601" s="3">
        <f t="shared" si="2"/>
        <v>0</v>
      </c>
      <c r="S601" s="11"/>
    </row>
    <row r="602" ht="13.5" customHeight="1" spans="1:21">
      <c r="A602" s="4" t="s">
        <v>27</v>
      </c>
      <c r="B602" s="3">
        <v>1204</v>
      </c>
      <c r="C602" s="3">
        <v>7100</v>
      </c>
      <c r="D602" s="3">
        <v>5</v>
      </c>
      <c r="E602" s="4" t="s">
        <v>22</v>
      </c>
      <c r="F602" s="4" t="s">
        <v>161</v>
      </c>
      <c r="G602" s="4" t="s">
        <v>162</v>
      </c>
      <c r="H602" s="4" t="s">
        <v>40</v>
      </c>
      <c r="I602" s="4" t="s">
        <v>156</v>
      </c>
      <c r="J602" s="3">
        <v>1</v>
      </c>
      <c r="K602" s="3">
        <v>25</v>
      </c>
      <c r="L602" s="3">
        <v>22</v>
      </c>
      <c r="M602" s="3">
        <v>3</v>
      </c>
      <c r="N602" s="3">
        <v>0</v>
      </c>
      <c r="O602" s="3">
        <v>0</v>
      </c>
      <c r="P602" s="3">
        <f t="shared" si="0"/>
        <v>0</v>
      </c>
      <c r="Q602" s="3">
        <f t="shared" si="1"/>
        <v>88</v>
      </c>
      <c r="R602" s="3">
        <f t="shared" si="2"/>
        <v>0</v>
      </c>
      <c r="S602" s="11">
        <f>AVERAGE(Q602:Q605)</f>
        <v>90</v>
      </c>
      <c r="T602" s="7">
        <f>AVERAGE(R602:R605)</f>
        <v>1</v>
      </c>
      <c r="U602" s="8">
        <f>(L602+L603+L604+L605+O602+O603+O604+O605)/(K602+K603+K604+K605)*100</f>
        <v>91</v>
      </c>
    </row>
    <row r="603" ht="13.5" customHeight="1" spans="1:19">
      <c r="A603" s="4" t="s">
        <v>27</v>
      </c>
      <c r="B603" s="3">
        <v>1204</v>
      </c>
      <c r="C603" s="3">
        <v>7100</v>
      </c>
      <c r="D603" s="3">
        <v>5</v>
      </c>
      <c r="E603" s="4" t="s">
        <v>22</v>
      </c>
      <c r="F603" s="4" t="s">
        <v>161</v>
      </c>
      <c r="G603" s="4" t="s">
        <v>162</v>
      </c>
      <c r="H603" s="4" t="s">
        <v>40</v>
      </c>
      <c r="I603" s="4" t="s">
        <v>156</v>
      </c>
      <c r="J603" s="3">
        <v>2</v>
      </c>
      <c r="K603" s="3">
        <v>25</v>
      </c>
      <c r="L603" s="3">
        <v>24</v>
      </c>
      <c r="M603" s="3">
        <v>1</v>
      </c>
      <c r="N603" s="3">
        <v>0</v>
      </c>
      <c r="O603" s="3">
        <v>0</v>
      </c>
      <c r="P603" s="3">
        <f t="shared" si="0"/>
        <v>0</v>
      </c>
      <c r="Q603" s="3">
        <f t="shared" si="1"/>
        <v>96</v>
      </c>
      <c r="R603" s="3">
        <f t="shared" si="2"/>
        <v>0</v>
      </c>
      <c r="S603" s="11"/>
    </row>
    <row r="604" ht="13.5" customHeight="1" spans="1:19">
      <c r="A604" s="4" t="s">
        <v>27</v>
      </c>
      <c r="B604" s="3">
        <v>1204</v>
      </c>
      <c r="C604" s="3">
        <v>7100</v>
      </c>
      <c r="D604" s="3">
        <v>5</v>
      </c>
      <c r="E604" s="4" t="s">
        <v>22</v>
      </c>
      <c r="F604" s="4" t="s">
        <v>161</v>
      </c>
      <c r="G604" s="4" t="s">
        <v>162</v>
      </c>
      <c r="H604" s="4" t="s">
        <v>40</v>
      </c>
      <c r="I604" s="4" t="s">
        <v>156</v>
      </c>
      <c r="J604" s="3">
        <v>3</v>
      </c>
      <c r="K604" s="3">
        <v>25</v>
      </c>
      <c r="L604" s="3">
        <v>19</v>
      </c>
      <c r="M604" s="3">
        <v>5</v>
      </c>
      <c r="N604" s="3">
        <v>0</v>
      </c>
      <c r="O604" s="3">
        <v>1</v>
      </c>
      <c r="P604" s="3">
        <f t="shared" si="0"/>
        <v>0</v>
      </c>
      <c r="Q604" s="3">
        <f t="shared" si="1"/>
        <v>76</v>
      </c>
      <c r="R604" s="3">
        <f t="shared" si="2"/>
        <v>4</v>
      </c>
      <c r="S604" s="11"/>
    </row>
    <row r="605" ht="13.5" customHeight="1" spans="1:19">
      <c r="A605" s="4" t="s">
        <v>27</v>
      </c>
      <c r="B605" s="3">
        <v>1204</v>
      </c>
      <c r="C605" s="3">
        <v>7100</v>
      </c>
      <c r="D605" s="3">
        <v>5</v>
      </c>
      <c r="E605" s="4" t="s">
        <v>22</v>
      </c>
      <c r="F605" s="4" t="s">
        <v>161</v>
      </c>
      <c r="G605" s="4" t="s">
        <v>162</v>
      </c>
      <c r="H605" s="4" t="s">
        <v>40</v>
      </c>
      <c r="I605" s="4" t="s">
        <v>156</v>
      </c>
      <c r="J605" s="3">
        <v>4</v>
      </c>
      <c r="K605" s="3">
        <v>25</v>
      </c>
      <c r="L605" s="3">
        <v>25</v>
      </c>
      <c r="M605" s="3">
        <v>0</v>
      </c>
      <c r="N605" s="3">
        <v>0</v>
      </c>
      <c r="O605" s="3">
        <v>0</v>
      </c>
      <c r="P605" s="3">
        <f t="shared" si="0"/>
        <v>0</v>
      </c>
      <c r="Q605" s="3">
        <f t="shared" si="1"/>
        <v>100</v>
      </c>
      <c r="R605" s="3">
        <f t="shared" si="2"/>
        <v>0</v>
      </c>
      <c r="S605" s="11"/>
    </row>
    <row r="606" ht="13.5" customHeight="1" spans="1:21">
      <c r="A606" s="4" t="s">
        <v>57</v>
      </c>
      <c r="B606" s="3">
        <v>1847</v>
      </c>
      <c r="C606" s="3">
        <v>10763</v>
      </c>
      <c r="D606" s="3">
        <v>0.1</v>
      </c>
      <c r="E606" s="4" t="s">
        <v>22</v>
      </c>
      <c r="F606" s="4" t="s">
        <v>157</v>
      </c>
      <c r="G606" s="4" t="s">
        <v>158</v>
      </c>
      <c r="H606" s="4" t="s">
        <v>40</v>
      </c>
      <c r="I606" s="4" t="s">
        <v>156</v>
      </c>
      <c r="J606" s="3">
        <v>1</v>
      </c>
      <c r="K606" s="3">
        <v>25</v>
      </c>
      <c r="L606" s="3">
        <v>22</v>
      </c>
      <c r="M606" s="3">
        <v>0</v>
      </c>
      <c r="N606" s="3">
        <v>0</v>
      </c>
      <c r="O606" s="3">
        <v>3</v>
      </c>
      <c r="P606" s="3">
        <f t="shared" si="0"/>
        <v>0</v>
      </c>
      <c r="Q606" s="3">
        <f t="shared" si="1"/>
        <v>88</v>
      </c>
      <c r="R606" s="3">
        <f t="shared" si="2"/>
        <v>12</v>
      </c>
      <c r="S606" s="11">
        <f>AVERAGE(Q606:Q609)</f>
        <v>93</v>
      </c>
      <c r="T606" s="7">
        <f>AVERAGE(R606:R609)</f>
        <v>4</v>
      </c>
      <c r="U606" s="8">
        <f>(L606+L607+L608+L609+O606+O607+O608+O609)/(K606+K607+K608+K609)*100</f>
        <v>97</v>
      </c>
    </row>
    <row r="607" ht="13.5" customHeight="1" spans="1:19">
      <c r="A607" s="4" t="s">
        <v>57</v>
      </c>
      <c r="B607" s="3">
        <v>1847</v>
      </c>
      <c r="C607" s="3">
        <v>10763</v>
      </c>
      <c r="D607" s="3">
        <v>0.1</v>
      </c>
      <c r="E607" s="4" t="s">
        <v>22</v>
      </c>
      <c r="F607" s="4" t="s">
        <v>157</v>
      </c>
      <c r="G607" s="4" t="s">
        <v>158</v>
      </c>
      <c r="H607" s="4" t="s">
        <v>40</v>
      </c>
      <c r="I607" s="4" t="s">
        <v>156</v>
      </c>
      <c r="J607" s="3">
        <v>2</v>
      </c>
      <c r="K607" s="3">
        <v>25</v>
      </c>
      <c r="L607" s="3">
        <v>23</v>
      </c>
      <c r="M607" s="3">
        <v>1</v>
      </c>
      <c r="N607" s="3">
        <v>0</v>
      </c>
      <c r="O607" s="3">
        <v>1</v>
      </c>
      <c r="P607" s="3">
        <f t="shared" si="0"/>
        <v>0</v>
      </c>
      <c r="Q607" s="3">
        <f t="shared" si="1"/>
        <v>92</v>
      </c>
      <c r="R607" s="3">
        <f t="shared" si="2"/>
        <v>4</v>
      </c>
      <c r="S607" s="11"/>
    </row>
    <row r="608" ht="13.5" customHeight="1" spans="1:19">
      <c r="A608" s="4" t="s">
        <v>57</v>
      </c>
      <c r="B608" s="3">
        <v>1847</v>
      </c>
      <c r="C608" s="3">
        <v>10763</v>
      </c>
      <c r="D608" s="3">
        <v>0.1</v>
      </c>
      <c r="E608" s="4" t="s">
        <v>22</v>
      </c>
      <c r="F608" s="4" t="s">
        <v>157</v>
      </c>
      <c r="G608" s="4" t="s">
        <v>158</v>
      </c>
      <c r="H608" s="4" t="s">
        <v>40</v>
      </c>
      <c r="I608" s="4" t="s">
        <v>156</v>
      </c>
      <c r="J608" s="3">
        <v>3</v>
      </c>
      <c r="K608" s="3">
        <v>25</v>
      </c>
      <c r="L608" s="3">
        <v>25</v>
      </c>
      <c r="M608" s="3">
        <v>0</v>
      </c>
      <c r="N608" s="3">
        <v>0</v>
      </c>
      <c r="O608" s="3">
        <v>0</v>
      </c>
      <c r="P608" s="3">
        <f t="shared" si="0"/>
        <v>0</v>
      </c>
      <c r="Q608" s="3">
        <f t="shared" si="1"/>
        <v>100</v>
      </c>
      <c r="R608" s="3">
        <f t="shared" si="2"/>
        <v>0</v>
      </c>
      <c r="S608" s="11"/>
    </row>
    <row r="609" ht="13.5" customHeight="1" spans="1:19">
      <c r="A609" s="4" t="s">
        <v>57</v>
      </c>
      <c r="B609" s="3">
        <v>1847</v>
      </c>
      <c r="C609" s="3">
        <v>10763</v>
      </c>
      <c r="D609" s="3">
        <v>0.1</v>
      </c>
      <c r="E609" s="4" t="s">
        <v>22</v>
      </c>
      <c r="F609" s="4" t="s">
        <v>157</v>
      </c>
      <c r="G609" s="4" t="s">
        <v>158</v>
      </c>
      <c r="H609" s="4" t="s">
        <v>40</v>
      </c>
      <c r="I609" s="4" t="s">
        <v>156</v>
      </c>
      <c r="J609" s="3">
        <v>4</v>
      </c>
      <c r="K609" s="3">
        <v>25</v>
      </c>
      <c r="L609" s="3">
        <v>23</v>
      </c>
      <c r="M609" s="3">
        <v>2</v>
      </c>
      <c r="N609" s="3">
        <v>0</v>
      </c>
      <c r="O609" s="3">
        <v>0</v>
      </c>
      <c r="P609" s="3">
        <f t="shared" si="0"/>
        <v>0</v>
      </c>
      <c r="Q609" s="3">
        <f t="shared" si="1"/>
        <v>92</v>
      </c>
      <c r="R609" s="3">
        <f t="shared" si="2"/>
        <v>0</v>
      </c>
      <c r="S609" s="11"/>
    </row>
    <row r="610" ht="13.5" customHeight="1" spans="1:21">
      <c r="A610" s="4" t="s">
        <v>46</v>
      </c>
      <c r="B610" s="3">
        <v>1270</v>
      </c>
      <c r="C610" s="3">
        <v>8757</v>
      </c>
      <c r="D610" s="3">
        <v>0.1</v>
      </c>
      <c r="E610" s="4" t="s">
        <v>74</v>
      </c>
      <c r="F610" s="4" t="s">
        <v>165</v>
      </c>
      <c r="G610" s="4" t="s">
        <v>166</v>
      </c>
      <c r="H610" s="4" t="s">
        <v>25</v>
      </c>
      <c r="I610" s="4" t="s">
        <v>156</v>
      </c>
      <c r="J610" s="3">
        <v>1</v>
      </c>
      <c r="K610" s="3">
        <v>20</v>
      </c>
      <c r="L610" s="3">
        <v>7</v>
      </c>
      <c r="M610" s="3">
        <v>0</v>
      </c>
      <c r="N610" s="3">
        <v>0</v>
      </c>
      <c r="O610" s="3">
        <v>13</v>
      </c>
      <c r="P610" s="3">
        <f t="shared" si="0"/>
        <v>0</v>
      </c>
      <c r="Q610" s="3">
        <f t="shared" si="1"/>
        <v>35</v>
      </c>
      <c r="R610" s="3">
        <f t="shared" si="2"/>
        <v>65</v>
      </c>
      <c r="S610" s="11">
        <f>AVERAGE(Q610:Q613)</f>
        <v>51.25</v>
      </c>
      <c r="T610" s="7">
        <f>AVERAGE(R610:R613)</f>
        <v>48.75</v>
      </c>
      <c r="U610" s="8">
        <f>(L610+L611+L612+L613+O610+O611+O612+O613)/(K610+K611+K612+K613)*100</f>
        <v>100</v>
      </c>
    </row>
    <row r="611" ht="13.5" customHeight="1" spans="1:19">
      <c r="A611" s="4" t="s">
        <v>46</v>
      </c>
      <c r="B611" s="3">
        <v>1270</v>
      </c>
      <c r="C611" s="3">
        <v>8757</v>
      </c>
      <c r="D611" s="3">
        <v>0.1</v>
      </c>
      <c r="E611" s="4" t="s">
        <v>74</v>
      </c>
      <c r="F611" s="4" t="s">
        <v>165</v>
      </c>
      <c r="G611" s="4" t="s">
        <v>166</v>
      </c>
      <c r="H611" s="4" t="s">
        <v>25</v>
      </c>
      <c r="I611" s="4" t="s">
        <v>156</v>
      </c>
      <c r="J611" s="3">
        <v>2</v>
      </c>
      <c r="K611" s="3">
        <v>20</v>
      </c>
      <c r="L611" s="3">
        <v>11</v>
      </c>
      <c r="M611" s="3">
        <v>0</v>
      </c>
      <c r="N611" s="3">
        <v>0</v>
      </c>
      <c r="O611" s="3">
        <v>9</v>
      </c>
      <c r="P611" s="3">
        <f t="shared" si="0"/>
        <v>0</v>
      </c>
      <c r="Q611" s="3">
        <f t="shared" si="1"/>
        <v>55</v>
      </c>
      <c r="R611" s="3">
        <f t="shared" si="2"/>
        <v>45</v>
      </c>
      <c r="S611" s="11"/>
    </row>
    <row r="612" ht="13.5" customHeight="1" spans="1:19">
      <c r="A612" s="4" t="s">
        <v>46</v>
      </c>
      <c r="B612" s="3">
        <v>1270</v>
      </c>
      <c r="C612" s="3">
        <v>8757</v>
      </c>
      <c r="D612" s="3">
        <v>0.1</v>
      </c>
      <c r="E612" s="4" t="s">
        <v>74</v>
      </c>
      <c r="F612" s="4" t="s">
        <v>165</v>
      </c>
      <c r="G612" s="4" t="s">
        <v>166</v>
      </c>
      <c r="H612" s="4" t="s">
        <v>25</v>
      </c>
      <c r="I612" s="4" t="s">
        <v>156</v>
      </c>
      <c r="J612" s="3">
        <v>3</v>
      </c>
      <c r="K612" s="3">
        <v>20</v>
      </c>
      <c r="L612" s="3">
        <v>12</v>
      </c>
      <c r="M612" s="3">
        <v>0</v>
      </c>
      <c r="N612" s="3">
        <v>0</v>
      </c>
      <c r="O612" s="3">
        <v>8</v>
      </c>
      <c r="P612" s="3">
        <f t="shared" si="0"/>
        <v>0</v>
      </c>
      <c r="Q612" s="3">
        <f t="shared" si="1"/>
        <v>60</v>
      </c>
      <c r="R612" s="3">
        <f t="shared" si="2"/>
        <v>40</v>
      </c>
      <c r="S612" s="11"/>
    </row>
    <row r="613" ht="13.5" customHeight="1" spans="1:19">
      <c r="A613" s="4" t="s">
        <v>46</v>
      </c>
      <c r="B613" s="3">
        <v>1270</v>
      </c>
      <c r="C613" s="3">
        <v>8757</v>
      </c>
      <c r="D613" s="3">
        <v>0.1</v>
      </c>
      <c r="E613" s="4" t="s">
        <v>74</v>
      </c>
      <c r="F613" s="4" t="s">
        <v>165</v>
      </c>
      <c r="G613" s="4" t="s">
        <v>166</v>
      </c>
      <c r="H613" s="4" t="s">
        <v>25</v>
      </c>
      <c r="I613" s="4" t="s">
        <v>156</v>
      </c>
      <c r="J613" s="3">
        <v>4</v>
      </c>
      <c r="K613" s="3">
        <v>20</v>
      </c>
      <c r="L613" s="3">
        <v>11</v>
      </c>
      <c r="M613" s="3">
        <v>0</v>
      </c>
      <c r="N613" s="3">
        <v>0</v>
      </c>
      <c r="O613" s="3">
        <v>9</v>
      </c>
      <c r="P613" s="3">
        <f t="shared" si="0"/>
        <v>0</v>
      </c>
      <c r="Q613" s="3">
        <f t="shared" si="1"/>
        <v>55</v>
      </c>
      <c r="R613" s="3">
        <f t="shared" si="2"/>
        <v>45</v>
      </c>
      <c r="S613" s="11"/>
    </row>
    <row r="614" ht="13.5" customHeight="1" spans="1:21">
      <c r="A614" s="4" t="s">
        <v>85</v>
      </c>
      <c r="B614" s="3">
        <v>1167</v>
      </c>
      <c r="C614" s="3">
        <v>7918</v>
      </c>
      <c r="D614" s="3">
        <v>0.1</v>
      </c>
      <c r="E614" s="4" t="s">
        <v>22</v>
      </c>
      <c r="F614" s="4" t="s">
        <v>157</v>
      </c>
      <c r="G614" s="4" t="s">
        <v>158</v>
      </c>
      <c r="H614" s="4" t="s">
        <v>40</v>
      </c>
      <c r="I614" s="4" t="s">
        <v>156</v>
      </c>
      <c r="J614" s="3">
        <v>1</v>
      </c>
      <c r="K614" s="3">
        <v>21</v>
      </c>
      <c r="L614" s="3">
        <v>21</v>
      </c>
      <c r="M614" s="3">
        <v>0</v>
      </c>
      <c r="N614" s="3">
        <v>0</v>
      </c>
      <c r="O614" s="3">
        <v>0</v>
      </c>
      <c r="P614" s="3">
        <f t="shared" si="0"/>
        <v>0</v>
      </c>
      <c r="Q614" s="3">
        <f t="shared" si="1"/>
        <v>100</v>
      </c>
      <c r="R614" s="3">
        <f t="shared" si="2"/>
        <v>0</v>
      </c>
      <c r="S614" s="11">
        <f>AVERAGE(Q614:Q617)</f>
        <v>97.5</v>
      </c>
      <c r="T614" s="7">
        <f>AVERAGE(R614:R617)</f>
        <v>0</v>
      </c>
      <c r="U614" s="8">
        <f>(L614+L615+L616+L617+O614+O615+O616+O617)/(K614+K615+K616+K617)*100</f>
        <v>97.5308641975309</v>
      </c>
    </row>
    <row r="615" ht="13.5" customHeight="1" spans="1:19">
      <c r="A615" s="4" t="s">
        <v>85</v>
      </c>
      <c r="B615" s="3">
        <v>1167</v>
      </c>
      <c r="C615" s="3">
        <v>7918</v>
      </c>
      <c r="D615" s="3">
        <v>0.1</v>
      </c>
      <c r="E615" s="4" t="s">
        <v>22</v>
      </c>
      <c r="F615" s="4" t="s">
        <v>157</v>
      </c>
      <c r="G615" s="4" t="s">
        <v>158</v>
      </c>
      <c r="H615" s="4" t="s">
        <v>40</v>
      </c>
      <c r="I615" s="4" t="s">
        <v>156</v>
      </c>
      <c r="J615" s="3">
        <v>2</v>
      </c>
      <c r="K615" s="3">
        <v>20</v>
      </c>
      <c r="L615" s="3">
        <v>18</v>
      </c>
      <c r="M615" s="3">
        <v>2</v>
      </c>
      <c r="N615" s="3">
        <v>0</v>
      </c>
      <c r="O615" s="3">
        <v>0</v>
      </c>
      <c r="P615" s="3">
        <f t="shared" si="0"/>
        <v>0</v>
      </c>
      <c r="Q615" s="3">
        <f t="shared" si="1"/>
        <v>90</v>
      </c>
      <c r="R615" s="3">
        <f t="shared" si="2"/>
        <v>0</v>
      </c>
      <c r="S615" s="11"/>
    </row>
    <row r="616" ht="13.5" customHeight="1" spans="1:19">
      <c r="A616" s="4" t="s">
        <v>85</v>
      </c>
      <c r="B616" s="3">
        <v>1167</v>
      </c>
      <c r="C616" s="3">
        <v>7918</v>
      </c>
      <c r="D616" s="3">
        <v>0.1</v>
      </c>
      <c r="E616" s="4" t="s">
        <v>22</v>
      </c>
      <c r="F616" s="4" t="s">
        <v>157</v>
      </c>
      <c r="G616" s="4" t="s">
        <v>158</v>
      </c>
      <c r="H616" s="4" t="s">
        <v>40</v>
      </c>
      <c r="I616" s="4" t="s">
        <v>156</v>
      </c>
      <c r="J616" s="3">
        <v>3</v>
      </c>
      <c r="K616" s="3">
        <v>20</v>
      </c>
      <c r="L616" s="3">
        <v>20</v>
      </c>
      <c r="M616" s="3">
        <v>0</v>
      </c>
      <c r="N616" s="3">
        <v>0</v>
      </c>
      <c r="O616" s="3">
        <v>0</v>
      </c>
      <c r="P616" s="3">
        <f t="shared" si="0"/>
        <v>0</v>
      </c>
      <c r="Q616" s="3">
        <f t="shared" si="1"/>
        <v>100</v>
      </c>
      <c r="R616" s="3">
        <f t="shared" si="2"/>
        <v>0</v>
      </c>
      <c r="S616" s="11"/>
    </row>
    <row r="617" ht="13.5" customHeight="1" spans="1:19">
      <c r="A617" s="4" t="s">
        <v>85</v>
      </c>
      <c r="B617" s="3">
        <v>1167</v>
      </c>
      <c r="C617" s="3">
        <v>7918</v>
      </c>
      <c r="D617" s="3">
        <v>0.1</v>
      </c>
      <c r="E617" s="4" t="s">
        <v>22</v>
      </c>
      <c r="F617" s="4" t="s">
        <v>157</v>
      </c>
      <c r="G617" s="4" t="s">
        <v>158</v>
      </c>
      <c r="H617" s="4" t="s">
        <v>40</v>
      </c>
      <c r="I617" s="4" t="s">
        <v>156</v>
      </c>
      <c r="J617" s="3">
        <v>4</v>
      </c>
      <c r="K617" s="3">
        <v>20</v>
      </c>
      <c r="L617" s="3">
        <v>20</v>
      </c>
      <c r="M617" s="3">
        <v>0</v>
      </c>
      <c r="N617" s="3">
        <v>0</v>
      </c>
      <c r="O617" s="3">
        <v>0</v>
      </c>
      <c r="P617" s="3">
        <f t="shared" si="0"/>
        <v>0</v>
      </c>
      <c r="Q617" s="3">
        <f t="shared" si="1"/>
        <v>100</v>
      </c>
      <c r="R617" s="3">
        <f t="shared" si="2"/>
        <v>0</v>
      </c>
      <c r="S617" s="11"/>
    </row>
    <row r="618" ht="13.5" customHeight="1" spans="1:21">
      <c r="A618" s="4" t="s">
        <v>66</v>
      </c>
      <c r="B618" s="3">
        <v>1153</v>
      </c>
      <c r="C618" s="3">
        <v>7684</v>
      </c>
      <c r="D618" s="3">
        <v>2</v>
      </c>
      <c r="E618" s="4" t="s">
        <v>38</v>
      </c>
      <c r="F618" s="4" t="s">
        <v>87</v>
      </c>
      <c r="G618" s="4" t="s">
        <v>87</v>
      </c>
      <c r="H618" s="4" t="s">
        <v>40</v>
      </c>
      <c r="I618" s="4" t="s">
        <v>156</v>
      </c>
      <c r="J618" s="3">
        <v>1</v>
      </c>
      <c r="K618" s="3">
        <v>25</v>
      </c>
      <c r="L618" s="3">
        <v>4</v>
      </c>
      <c r="M618" s="3">
        <v>5</v>
      </c>
      <c r="N618" s="3">
        <v>4</v>
      </c>
      <c r="O618" s="3">
        <v>12</v>
      </c>
      <c r="P618" s="3">
        <f t="shared" si="0"/>
        <v>0</v>
      </c>
      <c r="Q618" s="3">
        <f t="shared" si="1"/>
        <v>19.047619047619</v>
      </c>
      <c r="R618" s="3">
        <f t="shared" si="2"/>
        <v>57.1428571428571</v>
      </c>
      <c r="S618" s="11">
        <f>AVERAGE(Q618:Q621)</f>
        <v>19.0055641821946</v>
      </c>
      <c r="T618" s="7">
        <f>AVERAGE(R618:R621)</f>
        <v>38.8781055900621</v>
      </c>
      <c r="U618" s="8">
        <f>(L618+L619+L620+L621+O618+O619+O620+O621)/(K618+K619+K620+K621)*100</f>
        <v>51</v>
      </c>
    </row>
    <row r="619" ht="13.5" customHeight="1" spans="1:19">
      <c r="A619" s="4" t="s">
        <v>66</v>
      </c>
      <c r="B619" s="3">
        <v>1153</v>
      </c>
      <c r="C619" s="3">
        <v>7684</v>
      </c>
      <c r="D619" s="3">
        <v>2</v>
      </c>
      <c r="E619" s="4" t="s">
        <v>38</v>
      </c>
      <c r="F619" s="4" t="s">
        <v>87</v>
      </c>
      <c r="G619" s="4" t="s">
        <v>87</v>
      </c>
      <c r="H619" s="4" t="s">
        <v>40</v>
      </c>
      <c r="I619" s="4" t="s">
        <v>156</v>
      </c>
      <c r="J619" s="3">
        <v>2</v>
      </c>
      <c r="K619" s="3">
        <v>25</v>
      </c>
      <c r="L619" s="3">
        <v>5</v>
      </c>
      <c r="M619" s="3">
        <v>10</v>
      </c>
      <c r="N619" s="3">
        <v>1</v>
      </c>
      <c r="O619" s="3">
        <v>9</v>
      </c>
      <c r="P619" s="3">
        <f t="shared" si="0"/>
        <v>0</v>
      </c>
      <c r="Q619" s="3">
        <f t="shared" si="1"/>
        <v>20.8333333333333</v>
      </c>
      <c r="R619" s="3">
        <f t="shared" si="2"/>
        <v>37.5</v>
      </c>
      <c r="S619" s="11"/>
    </row>
    <row r="620" ht="13.5" customHeight="1" spans="1:19">
      <c r="A620" s="4" t="s">
        <v>66</v>
      </c>
      <c r="B620" s="3">
        <v>1153</v>
      </c>
      <c r="C620" s="3">
        <v>7684</v>
      </c>
      <c r="D620" s="3">
        <v>2</v>
      </c>
      <c r="E620" s="4" t="s">
        <v>38</v>
      </c>
      <c r="F620" s="4" t="s">
        <v>87</v>
      </c>
      <c r="G620" s="4" t="s">
        <v>87</v>
      </c>
      <c r="H620" s="4" t="s">
        <v>40</v>
      </c>
      <c r="I620" s="4" t="s">
        <v>156</v>
      </c>
      <c r="J620" s="3">
        <v>3</v>
      </c>
      <c r="K620" s="3">
        <v>25</v>
      </c>
      <c r="L620" s="3">
        <v>4</v>
      </c>
      <c r="M620" s="3">
        <v>5</v>
      </c>
      <c r="N620" s="3">
        <v>2</v>
      </c>
      <c r="O620" s="3">
        <v>14</v>
      </c>
      <c r="P620" s="3">
        <f t="shared" si="0"/>
        <v>0</v>
      </c>
      <c r="Q620" s="3">
        <f t="shared" si="1"/>
        <v>17.3913043478261</v>
      </c>
      <c r="R620" s="3">
        <f t="shared" si="2"/>
        <v>60.8695652173913</v>
      </c>
      <c r="S620" s="11"/>
    </row>
    <row r="621" ht="13.5" customHeight="1" spans="1:19">
      <c r="A621" s="4" t="s">
        <v>66</v>
      </c>
      <c r="B621" s="3">
        <v>1153</v>
      </c>
      <c r="C621" s="3">
        <v>7684</v>
      </c>
      <c r="D621" s="3">
        <v>2</v>
      </c>
      <c r="E621" s="4" t="s">
        <v>38</v>
      </c>
      <c r="F621" s="4" t="s">
        <v>87</v>
      </c>
      <c r="G621" s="4" t="s">
        <v>87</v>
      </c>
      <c r="H621" s="4" t="s">
        <v>40</v>
      </c>
      <c r="I621" s="4" t="s">
        <v>156</v>
      </c>
      <c r="J621" s="3">
        <v>4</v>
      </c>
      <c r="K621" s="3">
        <v>25</v>
      </c>
      <c r="L621" s="3">
        <v>3</v>
      </c>
      <c r="M621" s="3">
        <v>13</v>
      </c>
      <c r="N621" s="3">
        <v>9</v>
      </c>
      <c r="O621" s="3">
        <v>0</v>
      </c>
      <c r="P621" s="3">
        <f t="shared" si="0"/>
        <v>0</v>
      </c>
      <c r="Q621" s="3">
        <f t="shared" si="1"/>
        <v>18.75</v>
      </c>
      <c r="R621" s="3">
        <f t="shared" si="2"/>
        <v>0</v>
      </c>
      <c r="S621" s="11"/>
    </row>
    <row r="622" ht="13.5" customHeight="1" spans="1:21">
      <c r="A622" s="4" t="s">
        <v>86</v>
      </c>
      <c r="B622" s="3">
        <v>1097</v>
      </c>
      <c r="C622" s="3">
        <v>6679</v>
      </c>
      <c r="D622" s="3">
        <v>3</v>
      </c>
      <c r="E622" s="4" t="s">
        <v>38</v>
      </c>
      <c r="F622" s="4" t="s">
        <v>87</v>
      </c>
      <c r="G622" s="4" t="s">
        <v>87</v>
      </c>
      <c r="H622" s="4" t="s">
        <v>40</v>
      </c>
      <c r="I622" s="4" t="s">
        <v>156</v>
      </c>
      <c r="J622" s="3">
        <v>1</v>
      </c>
      <c r="K622" s="3">
        <v>25</v>
      </c>
      <c r="L622" s="3">
        <v>4</v>
      </c>
      <c r="M622" s="3">
        <v>5</v>
      </c>
      <c r="N622" s="3">
        <v>1</v>
      </c>
      <c r="O622" s="3">
        <v>15</v>
      </c>
      <c r="P622" s="3">
        <f t="shared" si="0"/>
        <v>0</v>
      </c>
      <c r="Q622" s="3">
        <f t="shared" si="1"/>
        <v>16.6666666666667</v>
      </c>
      <c r="R622" s="3">
        <f t="shared" si="2"/>
        <v>62.5</v>
      </c>
      <c r="S622" s="11">
        <f>AVERAGE(Q622:Q625)</f>
        <v>25.8623188405797</v>
      </c>
      <c r="T622" s="7">
        <f>AVERAGE(R622:R625)</f>
        <v>46.2336956521739</v>
      </c>
      <c r="U622" s="8">
        <f>(L622+L623+L624+L625+O622+O623+O624+O625)/(K622+K623+K624+K625)*100</f>
        <v>70</v>
      </c>
    </row>
    <row r="623" ht="13.5" customHeight="1" spans="1:19">
      <c r="A623" s="4" t="s">
        <v>86</v>
      </c>
      <c r="B623" s="3">
        <v>1097</v>
      </c>
      <c r="C623" s="3">
        <v>6679</v>
      </c>
      <c r="D623" s="3">
        <v>3</v>
      </c>
      <c r="E623" s="4" t="s">
        <v>38</v>
      </c>
      <c r="F623" s="4" t="s">
        <v>87</v>
      </c>
      <c r="G623" s="4" t="s">
        <v>87</v>
      </c>
      <c r="H623" s="4" t="s">
        <v>40</v>
      </c>
      <c r="I623" s="4" t="s">
        <v>156</v>
      </c>
      <c r="J623" s="3">
        <v>2</v>
      </c>
      <c r="K623" s="3">
        <v>25</v>
      </c>
      <c r="L623" s="3">
        <v>3</v>
      </c>
      <c r="M623" s="3">
        <v>7</v>
      </c>
      <c r="N623" s="3">
        <v>0</v>
      </c>
      <c r="O623" s="3">
        <v>15</v>
      </c>
      <c r="P623" s="3">
        <f t="shared" si="0"/>
        <v>0</v>
      </c>
      <c r="Q623" s="3">
        <f t="shared" si="1"/>
        <v>12</v>
      </c>
      <c r="R623" s="3">
        <f t="shared" si="2"/>
        <v>60</v>
      </c>
      <c r="S623" s="11"/>
    </row>
    <row r="624" ht="13.5" customHeight="1" spans="1:19">
      <c r="A624" s="4" t="s">
        <v>86</v>
      </c>
      <c r="B624" s="3">
        <v>1097</v>
      </c>
      <c r="C624" s="3">
        <v>6679</v>
      </c>
      <c r="D624" s="3">
        <v>3</v>
      </c>
      <c r="E624" s="4" t="s">
        <v>38</v>
      </c>
      <c r="F624" s="4" t="s">
        <v>87</v>
      </c>
      <c r="G624" s="4" t="s">
        <v>87</v>
      </c>
      <c r="H624" s="4" t="s">
        <v>40</v>
      </c>
      <c r="I624" s="4" t="s">
        <v>156</v>
      </c>
      <c r="J624" s="3">
        <v>3</v>
      </c>
      <c r="K624" s="3">
        <v>25</v>
      </c>
      <c r="L624" s="3">
        <v>10</v>
      </c>
      <c r="M624" s="3">
        <v>7</v>
      </c>
      <c r="N624" s="3">
        <v>0</v>
      </c>
      <c r="O624" s="3">
        <v>8</v>
      </c>
      <c r="P624" s="3">
        <f t="shared" si="0"/>
        <v>0</v>
      </c>
      <c r="Q624" s="3">
        <f t="shared" si="1"/>
        <v>40</v>
      </c>
      <c r="R624" s="3">
        <f t="shared" si="2"/>
        <v>32</v>
      </c>
      <c r="S624" s="11"/>
    </row>
    <row r="625" ht="13.5" customHeight="1" spans="1:19">
      <c r="A625" s="4" t="s">
        <v>86</v>
      </c>
      <c r="B625" s="3">
        <v>1097</v>
      </c>
      <c r="C625" s="3">
        <v>6679</v>
      </c>
      <c r="D625" s="3">
        <v>3</v>
      </c>
      <c r="E625" s="4" t="s">
        <v>38</v>
      </c>
      <c r="F625" s="4" t="s">
        <v>87</v>
      </c>
      <c r="G625" s="4" t="s">
        <v>87</v>
      </c>
      <c r="H625" s="4" t="s">
        <v>40</v>
      </c>
      <c r="I625" s="4" t="s">
        <v>156</v>
      </c>
      <c r="J625" s="3">
        <v>4</v>
      </c>
      <c r="K625" s="3">
        <v>25</v>
      </c>
      <c r="L625" s="3">
        <v>8</v>
      </c>
      <c r="M625" s="3">
        <v>8</v>
      </c>
      <c r="N625" s="3">
        <v>2</v>
      </c>
      <c r="O625" s="3">
        <v>7</v>
      </c>
      <c r="P625" s="3">
        <f t="shared" si="0"/>
        <v>0</v>
      </c>
      <c r="Q625" s="3">
        <f t="shared" si="1"/>
        <v>34.7826086956522</v>
      </c>
      <c r="R625" s="3">
        <f t="shared" si="2"/>
        <v>30.4347826086957</v>
      </c>
      <c r="S625" s="11"/>
    </row>
    <row r="626" ht="13.5" customHeight="1" spans="1:21">
      <c r="A626" s="4" t="s">
        <v>27</v>
      </c>
      <c r="B626" s="3">
        <v>1204</v>
      </c>
      <c r="C626" s="3">
        <v>7100</v>
      </c>
      <c r="D626" s="3">
        <v>0.1</v>
      </c>
      <c r="E626" s="4" t="s">
        <v>98</v>
      </c>
      <c r="F626" s="4" t="s">
        <v>99</v>
      </c>
      <c r="G626" s="4" t="s">
        <v>99</v>
      </c>
      <c r="H626" s="4" t="s">
        <v>62</v>
      </c>
      <c r="I626" s="4" t="s">
        <v>156</v>
      </c>
      <c r="J626" s="3">
        <v>1</v>
      </c>
      <c r="K626" s="3">
        <v>25</v>
      </c>
      <c r="L626" s="3">
        <v>4</v>
      </c>
      <c r="M626" s="3">
        <v>16</v>
      </c>
      <c r="N626" s="3">
        <v>5</v>
      </c>
      <c r="O626" s="3">
        <v>0</v>
      </c>
      <c r="P626" s="3">
        <f t="shared" si="0"/>
        <v>0</v>
      </c>
      <c r="Q626" s="3">
        <f t="shared" si="1"/>
        <v>20</v>
      </c>
      <c r="R626" s="3">
        <f t="shared" si="2"/>
        <v>0</v>
      </c>
      <c r="S626" s="11">
        <f>AVERAGE(Q626:Q629)</f>
        <v>18.6212814645309</v>
      </c>
      <c r="T626" s="7">
        <f>AVERAGE(R626:R629)</f>
        <v>3.94736842105262</v>
      </c>
      <c r="U626" s="8">
        <f>(L626+L627+L628+L629+O626+O627+O628+O629)/(K626+K627+K628+K629)*100</f>
        <v>18</v>
      </c>
    </row>
    <row r="627" ht="13.5" customHeight="1" spans="1:19">
      <c r="A627" s="4" t="s">
        <v>27</v>
      </c>
      <c r="B627" s="3">
        <v>1204</v>
      </c>
      <c r="C627" s="3">
        <v>7100</v>
      </c>
      <c r="D627" s="3">
        <v>0.1</v>
      </c>
      <c r="E627" s="4" t="s">
        <v>98</v>
      </c>
      <c r="F627" s="4" t="s">
        <v>99</v>
      </c>
      <c r="G627" s="4" t="s">
        <v>99</v>
      </c>
      <c r="H627" s="4" t="s">
        <v>62</v>
      </c>
      <c r="I627" s="4" t="s">
        <v>156</v>
      </c>
      <c r="J627" s="3">
        <v>2</v>
      </c>
      <c r="K627" s="3">
        <v>25</v>
      </c>
      <c r="L627" s="3">
        <v>3</v>
      </c>
      <c r="M627" s="3">
        <v>13</v>
      </c>
      <c r="N627" s="3">
        <v>6</v>
      </c>
      <c r="O627" s="3">
        <v>3</v>
      </c>
      <c r="P627" s="3">
        <f t="shared" si="0"/>
        <v>0</v>
      </c>
      <c r="Q627" s="3">
        <f t="shared" si="1"/>
        <v>15.7894736842105</v>
      </c>
      <c r="R627" s="3">
        <f t="shared" si="2"/>
        <v>15.7894736842105</v>
      </c>
      <c r="S627" s="11"/>
    </row>
    <row r="628" ht="13.5" customHeight="1" spans="1:19">
      <c r="A628" s="4" t="s">
        <v>27</v>
      </c>
      <c r="B628" s="3">
        <v>1204</v>
      </c>
      <c r="C628" s="3">
        <v>7100</v>
      </c>
      <c r="D628" s="3">
        <v>0.1</v>
      </c>
      <c r="E628" s="4" t="s">
        <v>98</v>
      </c>
      <c r="F628" s="4" t="s">
        <v>99</v>
      </c>
      <c r="G628" s="4" t="s">
        <v>99</v>
      </c>
      <c r="H628" s="4" t="s">
        <v>62</v>
      </c>
      <c r="I628" s="4" t="s">
        <v>156</v>
      </c>
      <c r="J628" s="3">
        <v>3</v>
      </c>
      <c r="K628" s="3">
        <v>25</v>
      </c>
      <c r="L628" s="3">
        <v>6</v>
      </c>
      <c r="M628" s="3">
        <v>14</v>
      </c>
      <c r="N628" s="3">
        <v>5</v>
      </c>
      <c r="O628" s="3">
        <v>0</v>
      </c>
      <c r="P628" s="3">
        <f t="shared" si="0"/>
        <v>0</v>
      </c>
      <c r="Q628" s="3">
        <f t="shared" si="1"/>
        <v>30</v>
      </c>
      <c r="R628" s="3">
        <f t="shared" si="2"/>
        <v>0</v>
      </c>
      <c r="S628" s="11"/>
    </row>
    <row r="629" ht="13.5" customHeight="1" spans="1:19">
      <c r="A629" s="4" t="s">
        <v>27</v>
      </c>
      <c r="B629" s="3">
        <v>1204</v>
      </c>
      <c r="C629" s="3">
        <v>7100</v>
      </c>
      <c r="D629" s="3">
        <v>0.1</v>
      </c>
      <c r="E629" s="4" t="s">
        <v>98</v>
      </c>
      <c r="F629" s="4" t="s">
        <v>99</v>
      </c>
      <c r="G629" s="4" t="s">
        <v>99</v>
      </c>
      <c r="H629" s="4" t="s">
        <v>62</v>
      </c>
      <c r="I629" s="4" t="s">
        <v>156</v>
      </c>
      <c r="J629" s="3">
        <v>4</v>
      </c>
      <c r="K629" s="3">
        <v>25</v>
      </c>
      <c r="L629" s="3">
        <v>2</v>
      </c>
      <c r="M629" s="3">
        <v>21</v>
      </c>
      <c r="N629" s="3">
        <v>2</v>
      </c>
      <c r="O629" s="3">
        <v>0</v>
      </c>
      <c r="P629" s="3">
        <f t="shared" si="0"/>
        <v>0</v>
      </c>
      <c r="Q629" s="3">
        <f t="shared" si="1"/>
        <v>8.69565217391304</v>
      </c>
      <c r="R629" s="3">
        <f t="shared" si="2"/>
        <v>0</v>
      </c>
      <c r="S629" s="11"/>
    </row>
    <row r="630" ht="13.5" customHeight="1" spans="1:21">
      <c r="A630" s="4" t="s">
        <v>42</v>
      </c>
      <c r="B630" s="3">
        <v>1441</v>
      </c>
      <c r="C630" s="3">
        <v>9420</v>
      </c>
      <c r="D630" s="3">
        <v>0.1</v>
      </c>
      <c r="E630" s="4" t="s">
        <v>43</v>
      </c>
      <c r="F630" s="4" t="s">
        <v>44</v>
      </c>
      <c r="G630" s="4" t="s">
        <v>45</v>
      </c>
      <c r="H630" s="4" t="s">
        <v>40</v>
      </c>
      <c r="I630" s="4" t="s">
        <v>156</v>
      </c>
      <c r="J630" s="3">
        <v>1</v>
      </c>
      <c r="K630" s="3">
        <v>25</v>
      </c>
      <c r="L630" s="3">
        <v>21</v>
      </c>
      <c r="M630" s="3">
        <v>0</v>
      </c>
      <c r="N630" s="3">
        <v>2</v>
      </c>
      <c r="O630" s="3">
        <v>2</v>
      </c>
      <c r="P630" s="3">
        <f t="shared" si="0"/>
        <v>0</v>
      </c>
      <c r="Q630" s="3">
        <f t="shared" si="1"/>
        <v>91.304347826087</v>
      </c>
      <c r="R630" s="3">
        <f t="shared" si="2"/>
        <v>8.69565217391304</v>
      </c>
      <c r="S630" s="11">
        <f>AVERAGE(Q630:Q633)</f>
        <v>91.6177536231884</v>
      </c>
      <c r="T630" s="7">
        <f>AVERAGE(R630:R633)</f>
        <v>3.21557971014493</v>
      </c>
      <c r="U630" s="8">
        <f>(L630+L631+L632+L633+O630+O631+O632+O633)/(K630+K631+K632+K633)*100</f>
        <v>91</v>
      </c>
    </row>
    <row r="631" ht="13.5" customHeight="1" spans="1:19">
      <c r="A631" s="4" t="s">
        <v>42</v>
      </c>
      <c r="B631" s="3">
        <v>1441</v>
      </c>
      <c r="C631" s="3">
        <v>9420</v>
      </c>
      <c r="D631" s="3">
        <v>0.1</v>
      </c>
      <c r="E631" s="4" t="s">
        <v>43</v>
      </c>
      <c r="F631" s="4" t="s">
        <v>44</v>
      </c>
      <c r="G631" s="4" t="s">
        <v>45</v>
      </c>
      <c r="H631" s="4" t="s">
        <v>40</v>
      </c>
      <c r="I631" s="4" t="s">
        <v>156</v>
      </c>
      <c r="J631" s="3">
        <v>2</v>
      </c>
      <c r="K631" s="3">
        <v>25</v>
      </c>
      <c r="L631" s="3">
        <v>22</v>
      </c>
      <c r="M631" s="3">
        <v>2</v>
      </c>
      <c r="N631" s="3">
        <v>1</v>
      </c>
      <c r="O631" s="3">
        <v>0</v>
      </c>
      <c r="P631" s="3">
        <f t="shared" si="0"/>
        <v>0</v>
      </c>
      <c r="Q631" s="3">
        <f t="shared" si="1"/>
        <v>91.6666666666667</v>
      </c>
      <c r="R631" s="3">
        <f t="shared" si="2"/>
        <v>0</v>
      </c>
      <c r="S631" s="11"/>
    </row>
    <row r="632" ht="13.5" customHeight="1" spans="1:19">
      <c r="A632" s="4" t="s">
        <v>42</v>
      </c>
      <c r="B632" s="3">
        <v>1441</v>
      </c>
      <c r="C632" s="3">
        <v>9420</v>
      </c>
      <c r="D632" s="3">
        <v>0.1</v>
      </c>
      <c r="E632" s="4" t="s">
        <v>43</v>
      </c>
      <c r="F632" s="4" t="s">
        <v>44</v>
      </c>
      <c r="G632" s="4" t="s">
        <v>45</v>
      </c>
      <c r="H632" s="4" t="s">
        <v>40</v>
      </c>
      <c r="I632" s="4" t="s">
        <v>156</v>
      </c>
      <c r="J632" s="3">
        <v>3</v>
      </c>
      <c r="K632" s="3">
        <v>25</v>
      </c>
      <c r="L632" s="3">
        <v>24</v>
      </c>
      <c r="M632" s="3">
        <v>1</v>
      </c>
      <c r="N632" s="3">
        <v>0</v>
      </c>
      <c r="O632" s="3">
        <v>0</v>
      </c>
      <c r="P632" s="3">
        <f t="shared" si="0"/>
        <v>0</v>
      </c>
      <c r="Q632" s="3">
        <f t="shared" si="1"/>
        <v>96</v>
      </c>
      <c r="R632" s="3">
        <f t="shared" si="2"/>
        <v>0</v>
      </c>
      <c r="S632" s="11"/>
    </row>
    <row r="633" ht="13.5" customHeight="1" spans="1:19">
      <c r="A633" s="4" t="s">
        <v>42</v>
      </c>
      <c r="B633" s="3">
        <v>1441</v>
      </c>
      <c r="C633" s="3">
        <v>9420</v>
      </c>
      <c r="D633" s="3">
        <v>0.1</v>
      </c>
      <c r="E633" s="4" t="s">
        <v>43</v>
      </c>
      <c r="F633" s="4" t="s">
        <v>44</v>
      </c>
      <c r="G633" s="4" t="s">
        <v>45</v>
      </c>
      <c r="H633" s="4" t="s">
        <v>40</v>
      </c>
      <c r="I633" s="4" t="s">
        <v>156</v>
      </c>
      <c r="J633" s="3">
        <v>4</v>
      </c>
      <c r="K633" s="3">
        <v>25</v>
      </c>
      <c r="L633" s="3">
        <v>21</v>
      </c>
      <c r="M633" s="3">
        <v>2</v>
      </c>
      <c r="N633" s="3">
        <v>1</v>
      </c>
      <c r="O633" s="3">
        <v>1</v>
      </c>
      <c r="P633" s="3">
        <f t="shared" si="0"/>
        <v>0</v>
      </c>
      <c r="Q633" s="3">
        <f t="shared" si="1"/>
        <v>87.5</v>
      </c>
      <c r="R633" s="3">
        <f t="shared" si="2"/>
        <v>4.16666666666667</v>
      </c>
      <c r="S633" s="11"/>
    </row>
    <row r="634" ht="13.5" customHeight="1" spans="1:21">
      <c r="A634" s="4" t="s">
        <v>21</v>
      </c>
      <c r="B634" s="3">
        <v>1236</v>
      </c>
      <c r="C634" s="3">
        <v>8460</v>
      </c>
      <c r="D634" s="3">
        <v>0.1</v>
      </c>
      <c r="E634" s="4" t="s">
        <v>48</v>
      </c>
      <c r="F634" s="4" t="s">
        <v>49</v>
      </c>
      <c r="G634" s="4" t="s">
        <v>50</v>
      </c>
      <c r="H634" s="4" t="s">
        <v>40</v>
      </c>
      <c r="I634" s="4" t="s">
        <v>156</v>
      </c>
      <c r="J634" s="3">
        <v>1</v>
      </c>
      <c r="K634" s="3">
        <v>25</v>
      </c>
      <c r="L634" s="3">
        <v>25</v>
      </c>
      <c r="M634" s="3">
        <v>0</v>
      </c>
      <c r="N634" s="3">
        <v>0</v>
      </c>
      <c r="O634" s="3">
        <v>0</v>
      </c>
      <c r="P634" s="3">
        <f t="shared" si="0"/>
        <v>0</v>
      </c>
      <c r="Q634" s="3">
        <f t="shared" si="1"/>
        <v>100</v>
      </c>
      <c r="R634" s="3">
        <f t="shared" si="2"/>
        <v>0</v>
      </c>
      <c r="S634" s="11">
        <f>AVERAGE(Q634:Q637)</f>
        <v>98</v>
      </c>
      <c r="T634" s="7">
        <f>AVERAGE(R634:R637)</f>
        <v>2</v>
      </c>
      <c r="U634" s="8">
        <f>(L634+L635+L636+L637+O634+O635+O636+O637)/(K634+K635+K636+K637)*100</f>
        <v>100</v>
      </c>
    </row>
    <row r="635" ht="13.5" customHeight="1" spans="1:19">
      <c r="A635" s="4" t="s">
        <v>21</v>
      </c>
      <c r="B635" s="3">
        <v>1236</v>
      </c>
      <c r="C635" s="3">
        <v>8460</v>
      </c>
      <c r="D635" s="3">
        <v>0.1</v>
      </c>
      <c r="E635" s="4" t="s">
        <v>48</v>
      </c>
      <c r="F635" s="4" t="s">
        <v>49</v>
      </c>
      <c r="G635" s="4" t="s">
        <v>50</v>
      </c>
      <c r="H635" s="4" t="s">
        <v>40</v>
      </c>
      <c r="I635" s="4" t="s">
        <v>156</v>
      </c>
      <c r="J635" s="3">
        <v>2</v>
      </c>
      <c r="K635" s="3">
        <v>25</v>
      </c>
      <c r="L635" s="3">
        <v>24</v>
      </c>
      <c r="M635" s="3">
        <v>0</v>
      </c>
      <c r="N635" s="3">
        <v>0</v>
      </c>
      <c r="O635" s="3">
        <v>1</v>
      </c>
      <c r="P635" s="3">
        <f t="shared" si="0"/>
        <v>0</v>
      </c>
      <c r="Q635" s="3">
        <f t="shared" si="1"/>
        <v>96</v>
      </c>
      <c r="R635" s="3">
        <f t="shared" si="2"/>
        <v>4</v>
      </c>
      <c r="S635" s="11"/>
    </row>
    <row r="636" ht="13.5" customHeight="1" spans="1:19">
      <c r="A636" s="4" t="s">
        <v>21</v>
      </c>
      <c r="B636" s="3">
        <v>1236</v>
      </c>
      <c r="C636" s="3">
        <v>8460</v>
      </c>
      <c r="D636" s="3">
        <v>0.1</v>
      </c>
      <c r="E636" s="4" t="s">
        <v>48</v>
      </c>
      <c r="F636" s="4" t="s">
        <v>49</v>
      </c>
      <c r="G636" s="4" t="s">
        <v>50</v>
      </c>
      <c r="H636" s="4" t="s">
        <v>40</v>
      </c>
      <c r="I636" s="4" t="s">
        <v>156</v>
      </c>
      <c r="J636" s="3">
        <v>3</v>
      </c>
      <c r="K636" s="3">
        <v>25</v>
      </c>
      <c r="L636" s="3">
        <v>25</v>
      </c>
      <c r="M636" s="3">
        <v>0</v>
      </c>
      <c r="N636" s="3">
        <v>0</v>
      </c>
      <c r="O636" s="3">
        <v>0</v>
      </c>
      <c r="P636" s="3">
        <f t="shared" si="0"/>
        <v>0</v>
      </c>
      <c r="Q636" s="3">
        <f t="shared" si="1"/>
        <v>100</v>
      </c>
      <c r="R636" s="3">
        <f t="shared" si="2"/>
        <v>0</v>
      </c>
      <c r="S636" s="11"/>
    </row>
    <row r="637" ht="13.5" customHeight="1" spans="1:19">
      <c r="A637" s="4" t="s">
        <v>21</v>
      </c>
      <c r="B637" s="3">
        <v>1236</v>
      </c>
      <c r="C637" s="3">
        <v>8460</v>
      </c>
      <c r="D637" s="3">
        <v>0.1</v>
      </c>
      <c r="E637" s="4" t="s">
        <v>48</v>
      </c>
      <c r="F637" s="4" t="s">
        <v>49</v>
      </c>
      <c r="G637" s="4" t="s">
        <v>50</v>
      </c>
      <c r="H637" s="4" t="s">
        <v>40</v>
      </c>
      <c r="I637" s="4" t="s">
        <v>156</v>
      </c>
      <c r="J637" s="3">
        <v>4</v>
      </c>
      <c r="K637" s="3">
        <v>25</v>
      </c>
      <c r="L637" s="3">
        <v>24</v>
      </c>
      <c r="M637" s="3">
        <v>0</v>
      </c>
      <c r="N637" s="3">
        <v>0</v>
      </c>
      <c r="O637" s="3">
        <v>1</v>
      </c>
      <c r="P637" s="3">
        <f t="shared" si="0"/>
        <v>0</v>
      </c>
      <c r="Q637" s="3">
        <f t="shared" si="1"/>
        <v>96</v>
      </c>
      <c r="R637" s="3">
        <f t="shared" si="2"/>
        <v>4</v>
      </c>
      <c r="S637" s="11"/>
    </row>
    <row r="638" ht="13.5" customHeight="1" spans="1:21">
      <c r="A638" s="4" t="s">
        <v>27</v>
      </c>
      <c r="B638" s="3">
        <v>1204</v>
      </c>
      <c r="C638" s="3">
        <v>7100</v>
      </c>
      <c r="D638" s="3">
        <v>0.1</v>
      </c>
      <c r="E638" s="4" t="s">
        <v>52</v>
      </c>
      <c r="F638" s="4" t="s">
        <v>101</v>
      </c>
      <c r="G638" s="3" t="s">
        <v>102</v>
      </c>
      <c r="H638" s="4" t="s">
        <v>40</v>
      </c>
      <c r="I638" s="4" t="s">
        <v>156</v>
      </c>
      <c r="J638" s="3">
        <v>1</v>
      </c>
      <c r="K638" s="3">
        <v>15</v>
      </c>
      <c r="L638" s="3">
        <v>8</v>
      </c>
      <c r="M638" s="3">
        <v>1</v>
      </c>
      <c r="N638" s="3">
        <v>4</v>
      </c>
      <c r="O638" s="3">
        <v>2</v>
      </c>
      <c r="P638" s="3">
        <f t="shared" si="0"/>
        <v>0</v>
      </c>
      <c r="Q638" s="3">
        <f t="shared" si="1"/>
        <v>72.7272727272727</v>
      </c>
      <c r="R638" s="3">
        <f t="shared" si="2"/>
        <v>18.1818181818182</v>
      </c>
      <c r="S638" s="11">
        <f>AVERAGE(Q638:Q641)</f>
        <v>90.24064171123</v>
      </c>
      <c r="T638" s="7">
        <f>AVERAGE(R638:R641)</f>
        <v>7.48663101604279</v>
      </c>
      <c r="U638" s="8">
        <f>(L638+L639+L640+L641+O638+O639+O640+O641)/(K638+K639+K640+K641)*100</f>
        <v>71.1111111111111</v>
      </c>
    </row>
    <row r="639" ht="13.5" customHeight="1" spans="1:19">
      <c r="A639" s="4" t="s">
        <v>27</v>
      </c>
      <c r="B639" s="3">
        <v>1204</v>
      </c>
      <c r="C639" s="3">
        <v>7100</v>
      </c>
      <c r="D639" s="3">
        <v>0.1</v>
      </c>
      <c r="E639" s="4" t="s">
        <v>52</v>
      </c>
      <c r="F639" s="4" t="s">
        <v>101</v>
      </c>
      <c r="G639" s="3" t="s">
        <v>102</v>
      </c>
      <c r="H639" s="4" t="s">
        <v>40</v>
      </c>
      <c r="I639" s="4" t="s">
        <v>156</v>
      </c>
      <c r="J639" s="3">
        <v>2</v>
      </c>
      <c r="K639" s="3">
        <v>25</v>
      </c>
      <c r="L639" s="3">
        <v>20</v>
      </c>
      <c r="M639" s="3">
        <v>0</v>
      </c>
      <c r="N639" s="3">
        <v>5</v>
      </c>
      <c r="O639" s="3">
        <v>0</v>
      </c>
      <c r="P639" s="3">
        <f t="shared" si="0"/>
        <v>0</v>
      </c>
      <c r="Q639" s="3">
        <f t="shared" si="1"/>
        <v>100</v>
      </c>
      <c r="R639" s="3">
        <f t="shared" si="2"/>
        <v>0</v>
      </c>
      <c r="S639" s="11"/>
    </row>
    <row r="640" ht="13.5" customHeight="1" spans="1:19">
      <c r="A640" s="4" t="s">
        <v>27</v>
      </c>
      <c r="B640" s="3">
        <v>1204</v>
      </c>
      <c r="C640" s="3">
        <v>7100</v>
      </c>
      <c r="D640" s="3">
        <v>0.1</v>
      </c>
      <c r="E640" s="4" t="s">
        <v>52</v>
      </c>
      <c r="F640" s="4" t="s">
        <v>101</v>
      </c>
      <c r="G640" s="3" t="s">
        <v>102</v>
      </c>
      <c r="H640" s="4" t="s">
        <v>40</v>
      </c>
      <c r="I640" s="4" t="s">
        <v>156</v>
      </c>
      <c r="J640" s="3">
        <v>3</v>
      </c>
      <c r="K640" s="3">
        <v>25</v>
      </c>
      <c r="L640" s="3">
        <v>16</v>
      </c>
      <c r="M640" s="3">
        <v>0</v>
      </c>
      <c r="N640" s="3">
        <v>8</v>
      </c>
      <c r="O640" s="3">
        <v>1</v>
      </c>
      <c r="P640" s="3">
        <f t="shared" si="0"/>
        <v>0</v>
      </c>
      <c r="Q640" s="3">
        <f t="shared" si="1"/>
        <v>94.1176470588235</v>
      </c>
      <c r="R640" s="3">
        <f t="shared" si="2"/>
        <v>5.88235294117647</v>
      </c>
      <c r="S640" s="11"/>
    </row>
    <row r="641" ht="13.5" customHeight="1" spans="1:19">
      <c r="A641" s="4" t="s">
        <v>27</v>
      </c>
      <c r="B641" s="3">
        <v>1204</v>
      </c>
      <c r="C641" s="3">
        <v>7100</v>
      </c>
      <c r="D641" s="3">
        <v>0.1</v>
      </c>
      <c r="E641" s="4" t="s">
        <v>52</v>
      </c>
      <c r="F641" s="4" t="s">
        <v>101</v>
      </c>
      <c r="G641" s="3" t="s">
        <v>102</v>
      </c>
      <c r="H641" s="4" t="s">
        <v>40</v>
      </c>
      <c r="I641" s="4" t="s">
        <v>156</v>
      </c>
      <c r="J641" s="3">
        <v>4</v>
      </c>
      <c r="K641" s="3">
        <v>25</v>
      </c>
      <c r="L641" s="3">
        <v>16</v>
      </c>
      <c r="M641" s="3">
        <v>0</v>
      </c>
      <c r="N641" s="3">
        <v>8</v>
      </c>
      <c r="O641" s="3">
        <v>1</v>
      </c>
      <c r="P641" s="3">
        <f t="shared" si="0"/>
        <v>0</v>
      </c>
      <c r="Q641" s="3">
        <f t="shared" si="1"/>
        <v>94.1176470588235</v>
      </c>
      <c r="R641" s="3">
        <f t="shared" si="2"/>
        <v>5.88235294117647</v>
      </c>
      <c r="S641" s="11"/>
    </row>
    <row r="642" ht="13.5" customHeight="1" spans="1:21">
      <c r="A642" s="4" t="s">
        <v>37</v>
      </c>
      <c r="B642" s="3">
        <v>1016</v>
      </c>
      <c r="C642" s="3">
        <v>5657</v>
      </c>
      <c r="D642" s="3">
        <v>3</v>
      </c>
      <c r="E642" s="4" t="s">
        <v>38</v>
      </c>
      <c r="F642" s="4" t="s">
        <v>39</v>
      </c>
      <c r="G642" s="4" t="s">
        <v>39</v>
      </c>
      <c r="H642" s="4" t="s">
        <v>40</v>
      </c>
      <c r="I642" s="4" t="s">
        <v>156</v>
      </c>
      <c r="J642" s="3">
        <v>1</v>
      </c>
      <c r="K642" s="3">
        <v>25</v>
      </c>
      <c r="L642" s="3">
        <v>6</v>
      </c>
      <c r="M642" s="3">
        <v>0</v>
      </c>
      <c r="N642" s="3">
        <v>0</v>
      </c>
      <c r="O642" s="3">
        <v>19</v>
      </c>
      <c r="P642" s="3">
        <f t="shared" si="0"/>
        <v>0</v>
      </c>
      <c r="Q642" s="3">
        <f t="shared" si="1"/>
        <v>24</v>
      </c>
      <c r="R642" s="3">
        <f t="shared" si="2"/>
        <v>76</v>
      </c>
      <c r="S642" s="11">
        <f>AVERAGE(Q642:Q645)</f>
        <v>42.5833333333333</v>
      </c>
      <c r="T642" s="7">
        <f>AVERAGE(R642:R645)</f>
        <v>54.4166666666667</v>
      </c>
      <c r="U642" s="8">
        <f>(L642+L643+L644+L645+O642+O643+O644+O645)/(K642+K643+K644+K645)*100</f>
        <v>96</v>
      </c>
    </row>
    <row r="643" ht="13.5" customHeight="1" spans="1:19">
      <c r="A643" s="4" t="s">
        <v>37</v>
      </c>
      <c r="B643" s="3">
        <v>1016</v>
      </c>
      <c r="C643" s="3">
        <v>5657</v>
      </c>
      <c r="D643" s="3">
        <v>3</v>
      </c>
      <c r="E643" s="4" t="s">
        <v>38</v>
      </c>
      <c r="F643" s="4" t="s">
        <v>39</v>
      </c>
      <c r="G643" s="4" t="s">
        <v>39</v>
      </c>
      <c r="H643" s="4" t="s">
        <v>40</v>
      </c>
      <c r="I643" s="4" t="s">
        <v>156</v>
      </c>
      <c r="J643" s="3">
        <v>2</v>
      </c>
      <c r="K643" s="3">
        <v>25</v>
      </c>
      <c r="L643" s="3">
        <v>14</v>
      </c>
      <c r="M643" s="3">
        <v>0</v>
      </c>
      <c r="N643" s="3">
        <v>1</v>
      </c>
      <c r="O643" s="3">
        <v>10</v>
      </c>
      <c r="P643" s="3">
        <f t="shared" si="0"/>
        <v>0</v>
      </c>
      <c r="Q643" s="3">
        <f t="shared" si="1"/>
        <v>58.3333333333333</v>
      </c>
      <c r="R643" s="3">
        <f t="shared" si="2"/>
        <v>41.6666666666667</v>
      </c>
      <c r="S643" s="11"/>
    </row>
    <row r="644" ht="13.5" customHeight="1" spans="1:19">
      <c r="A644" s="4" t="s">
        <v>37</v>
      </c>
      <c r="B644" s="3">
        <v>1016</v>
      </c>
      <c r="C644" s="3">
        <v>5657</v>
      </c>
      <c r="D644" s="3">
        <v>3</v>
      </c>
      <c r="E644" s="4" t="s">
        <v>38</v>
      </c>
      <c r="F644" s="4" t="s">
        <v>39</v>
      </c>
      <c r="G644" s="4" t="s">
        <v>39</v>
      </c>
      <c r="H644" s="4" t="s">
        <v>40</v>
      </c>
      <c r="I644" s="4" t="s">
        <v>156</v>
      </c>
      <c r="J644" s="3">
        <v>3</v>
      </c>
      <c r="K644" s="3">
        <v>25</v>
      </c>
      <c r="L644" s="3">
        <v>8</v>
      </c>
      <c r="M644" s="3">
        <v>0</v>
      </c>
      <c r="N644" s="3">
        <v>0</v>
      </c>
      <c r="O644" s="3">
        <v>17</v>
      </c>
      <c r="P644" s="3">
        <f t="shared" si="0"/>
        <v>0</v>
      </c>
      <c r="Q644" s="3">
        <f t="shared" si="1"/>
        <v>32</v>
      </c>
      <c r="R644" s="3">
        <f t="shared" si="2"/>
        <v>68</v>
      </c>
      <c r="S644" s="11"/>
    </row>
    <row r="645" ht="13.5" customHeight="1" spans="1:19">
      <c r="A645" s="4" t="s">
        <v>37</v>
      </c>
      <c r="B645" s="3">
        <v>1016</v>
      </c>
      <c r="C645" s="3">
        <v>5657</v>
      </c>
      <c r="D645" s="3">
        <v>3</v>
      </c>
      <c r="E645" s="4" t="s">
        <v>38</v>
      </c>
      <c r="F645" s="4" t="s">
        <v>39</v>
      </c>
      <c r="G645" s="4" t="s">
        <v>39</v>
      </c>
      <c r="H645" s="4" t="s">
        <v>40</v>
      </c>
      <c r="I645" s="4" t="s">
        <v>156</v>
      </c>
      <c r="J645" s="3">
        <v>4</v>
      </c>
      <c r="K645" s="3">
        <v>25</v>
      </c>
      <c r="L645" s="3">
        <v>14</v>
      </c>
      <c r="M645" s="3">
        <v>3</v>
      </c>
      <c r="N645" s="3">
        <v>0</v>
      </c>
      <c r="O645" s="3">
        <v>8</v>
      </c>
      <c r="P645" s="3">
        <f t="shared" si="0"/>
        <v>0</v>
      </c>
      <c r="Q645" s="3">
        <f t="shared" si="1"/>
        <v>56</v>
      </c>
      <c r="R645" s="3">
        <f t="shared" si="2"/>
        <v>32</v>
      </c>
      <c r="S645" s="11"/>
    </row>
    <row r="646" ht="13.5" customHeight="1" spans="1:21">
      <c r="A646" s="4" t="s">
        <v>47</v>
      </c>
      <c r="B646" s="3">
        <v>1504</v>
      </c>
      <c r="C646" s="3">
        <v>9859</v>
      </c>
      <c r="D646" s="3">
        <v>2</v>
      </c>
      <c r="E646" s="4" t="s">
        <v>28</v>
      </c>
      <c r="F646" s="4" t="s">
        <v>94</v>
      </c>
      <c r="G646" s="4" t="s">
        <v>95</v>
      </c>
      <c r="H646" s="4" t="s">
        <v>40</v>
      </c>
      <c r="I646" s="4" t="s">
        <v>156</v>
      </c>
      <c r="J646" s="3">
        <v>1</v>
      </c>
      <c r="K646" s="3">
        <v>25</v>
      </c>
      <c r="L646" s="3">
        <v>21</v>
      </c>
      <c r="M646" s="3">
        <v>4</v>
      </c>
      <c r="N646" s="3">
        <v>0</v>
      </c>
      <c r="O646" s="3">
        <v>0</v>
      </c>
      <c r="P646" s="3">
        <f t="shared" si="0"/>
        <v>0</v>
      </c>
      <c r="Q646" s="3">
        <f t="shared" si="1"/>
        <v>84</v>
      </c>
      <c r="R646" s="3">
        <f t="shared" si="2"/>
        <v>0</v>
      </c>
      <c r="S646" s="11">
        <f>AVERAGE(Q646:Q649)</f>
        <v>88</v>
      </c>
      <c r="T646" s="7">
        <f>AVERAGE(R646:R649)</f>
        <v>0</v>
      </c>
      <c r="U646" s="8">
        <f>(L646+L647+L648+L649+O646+O647+O648+O649)/(K646+K647+K648+K649)*100</f>
        <v>88</v>
      </c>
    </row>
    <row r="647" ht="13.5" customHeight="1" spans="1:19">
      <c r="A647" s="4" t="s">
        <v>47</v>
      </c>
      <c r="B647" s="3">
        <v>1504</v>
      </c>
      <c r="C647" s="3">
        <v>9859</v>
      </c>
      <c r="D647" s="3">
        <v>2</v>
      </c>
      <c r="E647" s="4" t="s">
        <v>28</v>
      </c>
      <c r="F647" s="4" t="s">
        <v>94</v>
      </c>
      <c r="G647" s="4" t="s">
        <v>95</v>
      </c>
      <c r="H647" s="4" t="s">
        <v>40</v>
      </c>
      <c r="I647" s="4" t="s">
        <v>156</v>
      </c>
      <c r="J647" s="3">
        <v>2</v>
      </c>
      <c r="K647" s="3">
        <v>25</v>
      </c>
      <c r="L647" s="3">
        <v>21</v>
      </c>
      <c r="M647" s="3">
        <v>4</v>
      </c>
      <c r="N647" s="3">
        <v>0</v>
      </c>
      <c r="O647" s="3">
        <v>0</v>
      </c>
      <c r="P647" s="3">
        <f t="shared" si="0"/>
        <v>0</v>
      </c>
      <c r="Q647" s="3">
        <f t="shared" si="1"/>
        <v>84</v>
      </c>
      <c r="R647" s="3">
        <f t="shared" si="2"/>
        <v>0</v>
      </c>
      <c r="S647" s="11"/>
    </row>
    <row r="648" ht="13.5" customHeight="1" spans="1:19">
      <c r="A648" s="4" t="s">
        <v>47</v>
      </c>
      <c r="B648" s="3">
        <v>1504</v>
      </c>
      <c r="C648" s="3">
        <v>9859</v>
      </c>
      <c r="D648" s="3">
        <v>2</v>
      </c>
      <c r="E648" s="4" t="s">
        <v>28</v>
      </c>
      <c r="F648" s="4" t="s">
        <v>94</v>
      </c>
      <c r="G648" s="4" t="s">
        <v>95</v>
      </c>
      <c r="H648" s="4" t="s">
        <v>40</v>
      </c>
      <c r="I648" s="4" t="s">
        <v>156</v>
      </c>
      <c r="J648" s="3">
        <v>3</v>
      </c>
      <c r="K648" s="3">
        <v>25</v>
      </c>
      <c r="L648" s="3">
        <v>21</v>
      </c>
      <c r="M648" s="3">
        <v>4</v>
      </c>
      <c r="N648" s="3">
        <v>0</v>
      </c>
      <c r="O648" s="3">
        <v>0</v>
      </c>
      <c r="P648" s="3">
        <f t="shared" si="0"/>
        <v>0</v>
      </c>
      <c r="Q648" s="3">
        <f t="shared" si="1"/>
        <v>84</v>
      </c>
      <c r="R648" s="3">
        <f t="shared" si="2"/>
        <v>0</v>
      </c>
      <c r="S648" s="11"/>
    </row>
    <row r="649" ht="13.5" customHeight="1" spans="1:19">
      <c r="A649" s="4" t="s">
        <v>47</v>
      </c>
      <c r="B649" s="3">
        <v>1504</v>
      </c>
      <c r="C649" s="3">
        <v>9859</v>
      </c>
      <c r="D649" s="3">
        <v>2</v>
      </c>
      <c r="E649" s="4" t="s">
        <v>28</v>
      </c>
      <c r="F649" s="4" t="s">
        <v>94</v>
      </c>
      <c r="G649" s="4" t="s">
        <v>95</v>
      </c>
      <c r="H649" s="4" t="s">
        <v>40</v>
      </c>
      <c r="I649" s="4" t="s">
        <v>156</v>
      </c>
      <c r="J649" s="3">
        <v>4</v>
      </c>
      <c r="K649" s="3">
        <v>25</v>
      </c>
      <c r="L649" s="3">
        <v>25</v>
      </c>
      <c r="M649" s="3">
        <v>0</v>
      </c>
      <c r="N649" s="3">
        <v>0</v>
      </c>
      <c r="O649" s="3">
        <v>0</v>
      </c>
      <c r="P649" s="3">
        <f t="shared" si="0"/>
        <v>0</v>
      </c>
      <c r="Q649" s="3">
        <f t="shared" si="1"/>
        <v>100</v>
      </c>
      <c r="R649" s="3">
        <f t="shared" si="2"/>
        <v>0</v>
      </c>
      <c r="S649" s="11"/>
    </row>
    <row r="650" ht="13.5" customHeight="1" spans="1:21">
      <c r="A650" s="4" t="s">
        <v>46</v>
      </c>
      <c r="B650" s="3">
        <v>1270</v>
      </c>
      <c r="C650" s="3">
        <v>8757</v>
      </c>
      <c r="D650" s="3">
        <v>0.1</v>
      </c>
      <c r="E650" s="4" t="s">
        <v>28</v>
      </c>
      <c r="F650" s="4" t="s">
        <v>151</v>
      </c>
      <c r="G650" s="3" t="s">
        <v>100</v>
      </c>
      <c r="H650" s="4" t="s">
        <v>25</v>
      </c>
      <c r="I650" s="4" t="s">
        <v>156</v>
      </c>
      <c r="J650" s="3">
        <v>1</v>
      </c>
      <c r="K650" s="3">
        <v>25</v>
      </c>
      <c r="L650" s="3">
        <v>5</v>
      </c>
      <c r="M650" s="3">
        <v>4</v>
      </c>
      <c r="N650" s="3">
        <v>6</v>
      </c>
      <c r="O650" s="3">
        <v>10</v>
      </c>
      <c r="P650" s="3">
        <f t="shared" si="0"/>
        <v>0</v>
      </c>
      <c r="Q650" s="3">
        <f t="shared" si="1"/>
        <v>26.3157894736842</v>
      </c>
      <c r="R650" s="3">
        <f t="shared" si="2"/>
        <v>52.6315789473684</v>
      </c>
      <c r="S650" s="11">
        <f>AVERAGE(Q650:Q653)</f>
        <v>17.1052631578947</v>
      </c>
      <c r="T650" s="7">
        <f>AVERAGE(R650:R653)</f>
        <v>59.2105263157895</v>
      </c>
      <c r="U650" s="8">
        <f>(L650+L651+L652+L653+O650+O651+O652+O653)/(K650+K651+K652+K653)*100</f>
        <v>58</v>
      </c>
    </row>
    <row r="651" ht="13.5" customHeight="1" spans="1:19">
      <c r="A651" s="4" t="s">
        <v>46</v>
      </c>
      <c r="B651" s="3">
        <v>1270</v>
      </c>
      <c r="C651" s="3">
        <v>8757</v>
      </c>
      <c r="D651" s="3">
        <v>0.1</v>
      </c>
      <c r="E651" s="4" t="s">
        <v>28</v>
      </c>
      <c r="F651" s="4" t="s">
        <v>151</v>
      </c>
      <c r="G651" s="3" t="s">
        <v>100</v>
      </c>
      <c r="H651" s="4" t="s">
        <v>25</v>
      </c>
      <c r="I651" s="4" t="s">
        <v>156</v>
      </c>
      <c r="J651" s="3">
        <v>2</v>
      </c>
      <c r="K651" s="3">
        <v>25</v>
      </c>
      <c r="L651" s="3">
        <v>5</v>
      </c>
      <c r="M651" s="3">
        <v>4</v>
      </c>
      <c r="N651" s="3">
        <v>6</v>
      </c>
      <c r="O651" s="3">
        <v>10</v>
      </c>
      <c r="P651" s="3">
        <f t="shared" si="0"/>
        <v>0</v>
      </c>
      <c r="Q651" s="3">
        <f t="shared" si="1"/>
        <v>26.3157894736842</v>
      </c>
      <c r="R651" s="3">
        <f t="shared" si="2"/>
        <v>52.6315789473684</v>
      </c>
      <c r="S651" s="11"/>
    </row>
    <row r="652" ht="13.5" customHeight="1" spans="1:19">
      <c r="A652" s="4" t="s">
        <v>46</v>
      </c>
      <c r="B652" s="3">
        <v>1270</v>
      </c>
      <c r="C652" s="3">
        <v>8757</v>
      </c>
      <c r="D652" s="3">
        <v>0.1</v>
      </c>
      <c r="E652" s="4" t="s">
        <v>28</v>
      </c>
      <c r="F652" s="4" t="s">
        <v>151</v>
      </c>
      <c r="G652" s="3" t="s">
        <v>100</v>
      </c>
      <c r="H652" s="4" t="s">
        <v>25</v>
      </c>
      <c r="I652" s="4" t="s">
        <v>156</v>
      </c>
      <c r="J652" s="3">
        <v>3</v>
      </c>
      <c r="K652" s="3">
        <v>25</v>
      </c>
      <c r="L652" s="3">
        <v>2</v>
      </c>
      <c r="M652" s="3">
        <v>5</v>
      </c>
      <c r="N652" s="3">
        <v>6</v>
      </c>
      <c r="O652" s="3">
        <v>12</v>
      </c>
      <c r="P652" s="3">
        <f t="shared" si="0"/>
        <v>0</v>
      </c>
      <c r="Q652" s="3">
        <f t="shared" si="1"/>
        <v>10.5263157894737</v>
      </c>
      <c r="R652" s="3">
        <f t="shared" si="2"/>
        <v>63.1578947368421</v>
      </c>
      <c r="S652" s="11"/>
    </row>
    <row r="653" ht="13.5" customHeight="1" spans="1:19">
      <c r="A653" s="4" t="s">
        <v>46</v>
      </c>
      <c r="B653" s="3">
        <v>1270</v>
      </c>
      <c r="C653" s="3">
        <v>8757</v>
      </c>
      <c r="D653" s="3">
        <v>0.1</v>
      </c>
      <c r="E653" s="4" t="s">
        <v>28</v>
      </c>
      <c r="F653" s="4" t="s">
        <v>151</v>
      </c>
      <c r="G653" s="3" t="s">
        <v>100</v>
      </c>
      <c r="H653" s="4" t="s">
        <v>25</v>
      </c>
      <c r="I653" s="4" t="s">
        <v>156</v>
      </c>
      <c r="J653" s="3">
        <v>4</v>
      </c>
      <c r="K653" s="3">
        <v>25</v>
      </c>
      <c r="L653" s="3">
        <v>1</v>
      </c>
      <c r="M653" s="3">
        <v>5</v>
      </c>
      <c r="N653" s="3">
        <v>6</v>
      </c>
      <c r="O653" s="3">
        <v>13</v>
      </c>
      <c r="P653" s="3">
        <f t="shared" si="0"/>
        <v>0</v>
      </c>
      <c r="Q653" s="3">
        <f t="shared" si="1"/>
        <v>5.26315789473684</v>
      </c>
      <c r="R653" s="3">
        <f t="shared" si="2"/>
        <v>68.4210526315789</v>
      </c>
      <c r="S653" s="11"/>
    </row>
    <row r="654" ht="13.5" customHeight="1" spans="1:21">
      <c r="A654" s="4" t="s">
        <v>69</v>
      </c>
      <c r="B654" s="3">
        <v>1940</v>
      </c>
      <c r="C654" s="3">
        <v>11126</v>
      </c>
      <c r="D654" s="3">
        <v>0.1</v>
      </c>
      <c r="E654" s="4" t="s">
        <v>28</v>
      </c>
      <c r="F654" s="4" t="s">
        <v>96</v>
      </c>
      <c r="G654" s="3" t="s">
        <v>97</v>
      </c>
      <c r="H654" s="4" t="s">
        <v>40</v>
      </c>
      <c r="I654" s="4" t="s">
        <v>156</v>
      </c>
      <c r="J654" s="3">
        <v>1</v>
      </c>
      <c r="K654" s="3">
        <v>25</v>
      </c>
      <c r="L654" s="3">
        <v>7</v>
      </c>
      <c r="M654" s="3">
        <v>2</v>
      </c>
      <c r="N654" s="3">
        <v>8</v>
      </c>
      <c r="O654" s="3">
        <v>8</v>
      </c>
      <c r="P654" s="3">
        <f t="shared" si="0"/>
        <v>0</v>
      </c>
      <c r="Q654" s="3">
        <f t="shared" si="1"/>
        <v>41.1764705882353</v>
      </c>
      <c r="R654" s="3">
        <f t="shared" si="2"/>
        <v>47.0588235294118</v>
      </c>
      <c r="S654" s="11">
        <f>AVERAGE(Q654:Q657)</f>
        <v>27.8816780335323</v>
      </c>
      <c r="T654" s="7">
        <f>AVERAGE(R654:R657)</f>
        <v>46.5926044330776</v>
      </c>
      <c r="U654" s="8">
        <f>(L654+L655+L656+L657+O654+O655+O656+O657)/(K654+K655+K656+K657)*100</f>
        <v>59.8039215686275</v>
      </c>
    </row>
    <row r="655" ht="13.5" customHeight="1" spans="1:19">
      <c r="A655" s="4" t="s">
        <v>69</v>
      </c>
      <c r="B655" s="3">
        <v>1940</v>
      </c>
      <c r="C655" s="3">
        <v>11126</v>
      </c>
      <c r="D655" s="3">
        <v>0.1</v>
      </c>
      <c r="E655" s="4" t="s">
        <v>28</v>
      </c>
      <c r="F655" s="4" t="s">
        <v>96</v>
      </c>
      <c r="G655" s="3" t="s">
        <v>97</v>
      </c>
      <c r="H655" s="4" t="s">
        <v>40</v>
      </c>
      <c r="I655" s="4" t="s">
        <v>156</v>
      </c>
      <c r="J655" s="3">
        <v>2</v>
      </c>
      <c r="K655" s="3">
        <v>27</v>
      </c>
      <c r="L655" s="3">
        <v>5</v>
      </c>
      <c r="M655" s="3">
        <v>7</v>
      </c>
      <c r="N655" s="3">
        <v>9</v>
      </c>
      <c r="O655" s="3">
        <v>6</v>
      </c>
      <c r="P655" s="3">
        <f t="shared" si="0"/>
        <v>0</v>
      </c>
      <c r="Q655" s="3">
        <f t="shared" si="1"/>
        <v>27.7777777777778</v>
      </c>
      <c r="R655" s="3">
        <f t="shared" si="2"/>
        <v>33.3333333333333</v>
      </c>
      <c r="S655" s="11"/>
    </row>
    <row r="656" ht="13.5" customHeight="1" spans="1:19">
      <c r="A656" s="4" t="s">
        <v>69</v>
      </c>
      <c r="B656" s="3">
        <v>1940</v>
      </c>
      <c r="C656" s="3">
        <v>11126</v>
      </c>
      <c r="D656" s="3">
        <v>0.1</v>
      </c>
      <c r="E656" s="4" t="s">
        <v>28</v>
      </c>
      <c r="F656" s="4" t="s">
        <v>96</v>
      </c>
      <c r="G656" s="3" t="s">
        <v>97</v>
      </c>
      <c r="H656" s="4" t="s">
        <v>40</v>
      </c>
      <c r="I656" s="4" t="s">
        <v>156</v>
      </c>
      <c r="J656" s="3">
        <v>3</v>
      </c>
      <c r="K656" s="3">
        <v>25</v>
      </c>
      <c r="L656" s="3">
        <v>5</v>
      </c>
      <c r="M656" s="3">
        <v>8</v>
      </c>
      <c r="N656" s="3">
        <v>2</v>
      </c>
      <c r="O656" s="3">
        <v>10</v>
      </c>
      <c r="P656" s="3">
        <f t="shared" si="0"/>
        <v>0</v>
      </c>
      <c r="Q656" s="3">
        <f t="shared" si="1"/>
        <v>21.7391304347826</v>
      </c>
      <c r="R656" s="3">
        <f t="shared" si="2"/>
        <v>43.4782608695652</v>
      </c>
      <c r="S656" s="11"/>
    </row>
    <row r="657" ht="13.5" customHeight="1" spans="1:19">
      <c r="A657" s="4" t="s">
        <v>69</v>
      </c>
      <c r="B657" s="3">
        <v>1940</v>
      </c>
      <c r="C657" s="3">
        <v>11126</v>
      </c>
      <c r="D657" s="3">
        <v>0.1</v>
      </c>
      <c r="E657" s="4" t="s">
        <v>28</v>
      </c>
      <c r="F657" s="4" t="s">
        <v>96</v>
      </c>
      <c r="G657" s="3" t="s">
        <v>97</v>
      </c>
      <c r="H657" s="4" t="s">
        <v>40</v>
      </c>
      <c r="I657" s="4" t="s">
        <v>156</v>
      </c>
      <c r="J657" s="3">
        <v>4</v>
      </c>
      <c r="K657" s="3">
        <v>25</v>
      </c>
      <c r="L657" s="3">
        <v>5</v>
      </c>
      <c r="M657" s="3">
        <v>4</v>
      </c>
      <c r="N657" s="3">
        <v>1</v>
      </c>
      <c r="O657" s="3">
        <v>15</v>
      </c>
      <c r="P657" s="3">
        <f t="shared" si="0"/>
        <v>0</v>
      </c>
      <c r="Q657" s="3">
        <f t="shared" si="1"/>
        <v>20.8333333333333</v>
      </c>
      <c r="R657" s="3">
        <f t="shared" si="2"/>
        <v>62.5</v>
      </c>
      <c r="S657" s="11"/>
    </row>
    <row r="658" ht="13.5" customHeight="1" spans="1:21">
      <c r="A658" s="4" t="s">
        <v>47</v>
      </c>
      <c r="B658" s="3">
        <v>1504</v>
      </c>
      <c r="C658" s="3">
        <v>9859</v>
      </c>
      <c r="D658" s="3">
        <v>0.1</v>
      </c>
      <c r="E658" s="4" t="s">
        <v>43</v>
      </c>
      <c r="F658" s="4" t="s">
        <v>44</v>
      </c>
      <c r="G658" s="4" t="s">
        <v>45</v>
      </c>
      <c r="H658" s="4" t="s">
        <v>40</v>
      </c>
      <c r="I658" s="4" t="s">
        <v>156</v>
      </c>
      <c r="J658" s="3">
        <v>1</v>
      </c>
      <c r="K658" s="3">
        <v>25</v>
      </c>
      <c r="L658" s="3">
        <v>24</v>
      </c>
      <c r="M658" s="3">
        <v>0</v>
      </c>
      <c r="N658" s="3">
        <v>0</v>
      </c>
      <c r="O658" s="3">
        <v>1</v>
      </c>
      <c r="P658" s="3">
        <f t="shared" si="0"/>
        <v>0</v>
      </c>
      <c r="Q658" s="3">
        <f t="shared" si="1"/>
        <v>96</v>
      </c>
      <c r="R658" s="3">
        <f t="shared" si="2"/>
        <v>4</v>
      </c>
      <c r="S658" s="11">
        <f>AVERAGE(Q658:Q661)</f>
        <v>93.5833333333333</v>
      </c>
      <c r="T658" s="7">
        <f>AVERAGE(R658:R661)</f>
        <v>6.41666666666667</v>
      </c>
      <c r="U658" s="8">
        <f>(L658+L659+L660+L661+O658+O659+O660+O661)/(K658+K659+K660+K661)*100</f>
        <v>97.8947368421053</v>
      </c>
    </row>
    <row r="659" ht="13.5" customHeight="1" spans="1:19">
      <c r="A659" s="4" t="s">
        <v>47</v>
      </c>
      <c r="B659" s="3">
        <v>1504</v>
      </c>
      <c r="C659" s="3">
        <v>9859</v>
      </c>
      <c r="D659" s="3">
        <v>0.1</v>
      </c>
      <c r="E659" s="4" t="s">
        <v>43</v>
      </c>
      <c r="F659" s="4" t="s">
        <v>44</v>
      </c>
      <c r="G659" s="4" t="s">
        <v>45</v>
      </c>
      <c r="H659" s="4" t="s">
        <v>40</v>
      </c>
      <c r="I659" s="4" t="s">
        <v>156</v>
      </c>
      <c r="J659" s="3">
        <v>2</v>
      </c>
      <c r="K659" s="3">
        <v>25</v>
      </c>
      <c r="L659" s="3">
        <v>23</v>
      </c>
      <c r="M659" s="3">
        <v>0</v>
      </c>
      <c r="N659" s="3">
        <v>1</v>
      </c>
      <c r="O659" s="3">
        <v>1</v>
      </c>
      <c r="P659" s="3">
        <f t="shared" si="0"/>
        <v>0</v>
      </c>
      <c r="Q659" s="3">
        <f t="shared" si="1"/>
        <v>95.8333333333333</v>
      </c>
      <c r="R659" s="3">
        <f t="shared" si="2"/>
        <v>4.16666666666667</v>
      </c>
      <c r="S659" s="11"/>
    </row>
    <row r="660" ht="13.5" customHeight="1" spans="1:19">
      <c r="A660" s="4" t="s">
        <v>47</v>
      </c>
      <c r="B660" s="3">
        <v>1504</v>
      </c>
      <c r="C660" s="3">
        <v>9859</v>
      </c>
      <c r="D660" s="3">
        <v>0.1</v>
      </c>
      <c r="E660" s="4" t="s">
        <v>43</v>
      </c>
      <c r="F660" s="4" t="s">
        <v>44</v>
      </c>
      <c r="G660" s="4" t="s">
        <v>45</v>
      </c>
      <c r="H660" s="4" t="s">
        <v>40</v>
      </c>
      <c r="I660" s="4" t="s">
        <v>156</v>
      </c>
      <c r="J660" s="3">
        <v>3</v>
      </c>
      <c r="K660" s="3">
        <v>25</v>
      </c>
      <c r="L660" s="3">
        <v>21</v>
      </c>
      <c r="M660" s="3">
        <v>0</v>
      </c>
      <c r="N660" s="3">
        <v>1</v>
      </c>
      <c r="O660" s="3">
        <v>3</v>
      </c>
      <c r="P660" s="3">
        <f t="shared" si="0"/>
        <v>0</v>
      </c>
      <c r="Q660" s="3">
        <f t="shared" si="1"/>
        <v>87.5</v>
      </c>
      <c r="R660" s="3">
        <f t="shared" si="2"/>
        <v>12.5</v>
      </c>
      <c r="S660" s="11"/>
    </row>
    <row r="661" ht="13.5" customHeight="1" spans="1:19">
      <c r="A661" s="4" t="s">
        <v>47</v>
      </c>
      <c r="B661" s="3">
        <v>1504</v>
      </c>
      <c r="C661" s="3">
        <v>9859</v>
      </c>
      <c r="D661" s="3">
        <v>0.1</v>
      </c>
      <c r="E661" s="4" t="s">
        <v>43</v>
      </c>
      <c r="F661" s="4" t="s">
        <v>44</v>
      </c>
      <c r="G661" s="4" t="s">
        <v>45</v>
      </c>
      <c r="H661" s="4" t="s">
        <v>40</v>
      </c>
      <c r="I661" s="4" t="s">
        <v>156</v>
      </c>
      <c r="J661" s="3">
        <v>4</v>
      </c>
      <c r="K661" s="3">
        <v>20</v>
      </c>
      <c r="L661" s="3">
        <v>19</v>
      </c>
      <c r="M661" s="3">
        <v>0</v>
      </c>
      <c r="N661" s="3">
        <v>0</v>
      </c>
      <c r="O661" s="3">
        <v>1</v>
      </c>
      <c r="P661" s="3">
        <f t="shared" si="0"/>
        <v>0</v>
      </c>
      <c r="Q661" s="3">
        <f t="shared" si="1"/>
        <v>95</v>
      </c>
      <c r="R661" s="3">
        <f t="shared" si="2"/>
        <v>5</v>
      </c>
      <c r="S661" s="11"/>
    </row>
    <row r="662" ht="13.5" customHeight="1" spans="1:21">
      <c r="A662" s="4" t="s">
        <v>36</v>
      </c>
      <c r="B662" s="3">
        <v>1294</v>
      </c>
      <c r="C662" s="3">
        <v>8842</v>
      </c>
      <c r="D662" s="3">
        <v>0.1</v>
      </c>
      <c r="E662" s="4" t="s">
        <v>52</v>
      </c>
      <c r="F662" s="4" t="s">
        <v>101</v>
      </c>
      <c r="G662" s="4" t="s">
        <v>102</v>
      </c>
      <c r="H662" s="4" t="s">
        <v>40</v>
      </c>
      <c r="I662" s="4" t="s">
        <v>156</v>
      </c>
      <c r="J662" s="3">
        <v>1</v>
      </c>
      <c r="K662" s="3">
        <v>25</v>
      </c>
      <c r="L662" s="3">
        <v>22</v>
      </c>
      <c r="M662" s="3">
        <v>0</v>
      </c>
      <c r="N662" s="3">
        <v>3</v>
      </c>
      <c r="O662" s="3">
        <v>0</v>
      </c>
      <c r="P662" s="3">
        <f t="shared" si="0"/>
        <v>0</v>
      </c>
      <c r="Q662" s="3">
        <f t="shared" si="1"/>
        <v>100</v>
      </c>
      <c r="R662" s="3">
        <f t="shared" si="2"/>
        <v>0</v>
      </c>
      <c r="S662" s="11">
        <f>AVERAGE(Q662:Q665)</f>
        <v>100</v>
      </c>
      <c r="T662" s="7">
        <f>AVERAGE(R662:R665)</f>
        <v>0</v>
      </c>
      <c r="U662" s="8">
        <f>(L662+L663+L664+L665+O662+O663+O664+O665)/(K662+K663+K664+K665)*100</f>
        <v>84</v>
      </c>
    </row>
    <row r="663" ht="13.5" customHeight="1" spans="1:19">
      <c r="A663" s="4" t="s">
        <v>36</v>
      </c>
      <c r="B663" s="3">
        <v>1294</v>
      </c>
      <c r="C663" s="3">
        <v>8842</v>
      </c>
      <c r="D663" s="3">
        <v>0.1</v>
      </c>
      <c r="E663" s="4" t="s">
        <v>52</v>
      </c>
      <c r="F663" s="4" t="s">
        <v>101</v>
      </c>
      <c r="G663" s="4" t="s">
        <v>102</v>
      </c>
      <c r="H663" s="4" t="s">
        <v>40</v>
      </c>
      <c r="I663" s="4" t="s">
        <v>156</v>
      </c>
      <c r="J663" s="3">
        <v>2</v>
      </c>
      <c r="K663" s="3">
        <v>25</v>
      </c>
      <c r="L663" s="3">
        <v>24</v>
      </c>
      <c r="M663" s="3">
        <v>0</v>
      </c>
      <c r="N663" s="3">
        <v>1</v>
      </c>
      <c r="O663" s="3">
        <v>0</v>
      </c>
      <c r="P663" s="3">
        <f t="shared" si="0"/>
        <v>0</v>
      </c>
      <c r="Q663" s="3">
        <f t="shared" si="1"/>
        <v>100</v>
      </c>
      <c r="R663" s="3">
        <f t="shared" si="2"/>
        <v>0</v>
      </c>
      <c r="S663" s="11"/>
    </row>
    <row r="664" ht="13.5" customHeight="1" spans="1:19">
      <c r="A664" s="4" t="s">
        <v>36</v>
      </c>
      <c r="B664" s="3">
        <v>1294</v>
      </c>
      <c r="C664" s="3">
        <v>8842</v>
      </c>
      <c r="D664" s="3">
        <v>0.1</v>
      </c>
      <c r="E664" s="4" t="s">
        <v>52</v>
      </c>
      <c r="F664" s="4" t="s">
        <v>101</v>
      </c>
      <c r="G664" s="4" t="s">
        <v>102</v>
      </c>
      <c r="H664" s="4" t="s">
        <v>40</v>
      </c>
      <c r="I664" s="4" t="s">
        <v>156</v>
      </c>
      <c r="J664" s="3">
        <v>3</v>
      </c>
      <c r="K664" s="3">
        <v>25</v>
      </c>
      <c r="L664" s="3">
        <v>21</v>
      </c>
      <c r="M664" s="3">
        <v>0</v>
      </c>
      <c r="N664" s="3">
        <v>4</v>
      </c>
      <c r="O664" s="3">
        <v>0</v>
      </c>
      <c r="P664" s="3">
        <f t="shared" si="0"/>
        <v>0</v>
      </c>
      <c r="Q664" s="3">
        <f t="shared" si="1"/>
        <v>100</v>
      </c>
      <c r="R664" s="3">
        <f t="shared" si="2"/>
        <v>0</v>
      </c>
      <c r="S664" s="11"/>
    </row>
    <row r="665" ht="13.5" customHeight="1" spans="1:19">
      <c r="A665" s="4" t="s">
        <v>36</v>
      </c>
      <c r="B665" s="3">
        <v>1294</v>
      </c>
      <c r="C665" s="3">
        <v>8842</v>
      </c>
      <c r="D665" s="3">
        <v>0.1</v>
      </c>
      <c r="E665" s="4" t="s">
        <v>52</v>
      </c>
      <c r="F665" s="4" t="s">
        <v>101</v>
      </c>
      <c r="G665" s="4" t="s">
        <v>102</v>
      </c>
      <c r="H665" s="4" t="s">
        <v>40</v>
      </c>
      <c r="I665" s="4" t="s">
        <v>156</v>
      </c>
      <c r="J665" s="3">
        <v>4</v>
      </c>
      <c r="K665" s="3">
        <v>25</v>
      </c>
      <c r="L665" s="3">
        <v>17</v>
      </c>
      <c r="M665" s="3">
        <v>0</v>
      </c>
      <c r="N665" s="3">
        <v>8</v>
      </c>
      <c r="O665" s="3">
        <v>0</v>
      </c>
      <c r="P665" s="3">
        <f t="shared" si="0"/>
        <v>0</v>
      </c>
      <c r="Q665" s="3">
        <f t="shared" si="1"/>
        <v>100</v>
      </c>
      <c r="R665" s="3">
        <f t="shared" si="2"/>
        <v>0</v>
      </c>
      <c r="S665" s="11"/>
    </row>
    <row r="666" ht="13.5" customHeight="1" spans="1:21">
      <c r="A666" s="4" t="s">
        <v>85</v>
      </c>
      <c r="B666" s="3">
        <v>1167</v>
      </c>
      <c r="C666" s="3">
        <v>7918</v>
      </c>
      <c r="D666" s="3">
        <v>1</v>
      </c>
      <c r="E666" s="4" t="s">
        <v>38</v>
      </c>
      <c r="F666" s="4" t="s">
        <v>87</v>
      </c>
      <c r="G666" s="4" t="s">
        <v>87</v>
      </c>
      <c r="H666" s="4" t="s">
        <v>40</v>
      </c>
      <c r="I666" s="4" t="s">
        <v>156</v>
      </c>
      <c r="J666" s="3">
        <v>1</v>
      </c>
      <c r="K666" s="3">
        <v>25</v>
      </c>
      <c r="L666" s="3">
        <v>4</v>
      </c>
      <c r="M666" s="3">
        <v>8</v>
      </c>
      <c r="N666" s="3">
        <v>1</v>
      </c>
      <c r="O666" s="3">
        <v>12</v>
      </c>
      <c r="P666" s="3">
        <f t="shared" si="0"/>
        <v>0</v>
      </c>
      <c r="Q666" s="3">
        <f t="shared" si="1"/>
        <v>16.6666666666667</v>
      </c>
      <c r="R666" s="3">
        <f t="shared" si="2"/>
        <v>50</v>
      </c>
      <c r="S666" s="11">
        <f>AVERAGE(Q666:Q669)</f>
        <v>7.16666666666667</v>
      </c>
      <c r="T666" s="7">
        <f>AVERAGE(R666:R669)</f>
        <v>60.5</v>
      </c>
      <c r="U666" s="8">
        <f>(L666+L667+L668+L669+O666+O667+O668+O669)/(K666+K667+K668+K669)*100</f>
        <v>67</v>
      </c>
    </row>
    <row r="667" ht="13.5" customHeight="1" spans="1:19">
      <c r="A667" s="4" t="s">
        <v>85</v>
      </c>
      <c r="B667" s="3">
        <v>1167</v>
      </c>
      <c r="C667" s="3">
        <v>7918</v>
      </c>
      <c r="D667" s="3">
        <v>1</v>
      </c>
      <c r="E667" s="4" t="s">
        <v>38</v>
      </c>
      <c r="F667" s="4" t="s">
        <v>87</v>
      </c>
      <c r="G667" s="4" t="s">
        <v>87</v>
      </c>
      <c r="H667" s="4" t="s">
        <v>40</v>
      </c>
      <c r="I667" s="4" t="s">
        <v>156</v>
      </c>
      <c r="J667" s="3">
        <v>2</v>
      </c>
      <c r="K667" s="3">
        <v>25</v>
      </c>
      <c r="L667" s="3">
        <v>3</v>
      </c>
      <c r="M667" s="3">
        <v>7</v>
      </c>
      <c r="N667" s="3">
        <v>0</v>
      </c>
      <c r="O667" s="3">
        <v>15</v>
      </c>
      <c r="P667" s="3">
        <f t="shared" si="0"/>
        <v>0</v>
      </c>
      <c r="Q667" s="3">
        <f t="shared" si="1"/>
        <v>12</v>
      </c>
      <c r="R667" s="3">
        <f t="shared" si="2"/>
        <v>60</v>
      </c>
      <c r="S667" s="11"/>
    </row>
    <row r="668" ht="13.5" customHeight="1" spans="1:19">
      <c r="A668" s="4" t="s">
        <v>85</v>
      </c>
      <c r="B668" s="3">
        <v>1167</v>
      </c>
      <c r="C668" s="3">
        <v>7918</v>
      </c>
      <c r="D668" s="3">
        <v>1</v>
      </c>
      <c r="E668" s="4" t="s">
        <v>38</v>
      </c>
      <c r="F668" s="4" t="s">
        <v>87</v>
      </c>
      <c r="G668" s="4" t="s">
        <v>87</v>
      </c>
      <c r="H668" s="4" t="s">
        <v>40</v>
      </c>
      <c r="I668" s="4" t="s">
        <v>156</v>
      </c>
      <c r="J668" s="3">
        <v>3</v>
      </c>
      <c r="K668" s="3">
        <v>25</v>
      </c>
      <c r="L668" s="3">
        <v>0</v>
      </c>
      <c r="M668" s="3">
        <v>9</v>
      </c>
      <c r="N668" s="3">
        <v>0</v>
      </c>
      <c r="O668" s="3">
        <v>16</v>
      </c>
      <c r="P668" s="3">
        <f t="shared" si="0"/>
        <v>0</v>
      </c>
      <c r="Q668" s="3">
        <f t="shared" si="1"/>
        <v>0</v>
      </c>
      <c r="R668" s="3">
        <f t="shared" si="2"/>
        <v>64</v>
      </c>
      <c r="S668" s="11"/>
    </row>
    <row r="669" ht="13.5" customHeight="1" spans="1:19">
      <c r="A669" s="4" t="s">
        <v>85</v>
      </c>
      <c r="B669" s="3">
        <v>1167</v>
      </c>
      <c r="C669" s="3">
        <v>7918</v>
      </c>
      <c r="D669" s="3">
        <v>1</v>
      </c>
      <c r="E669" s="4" t="s">
        <v>38</v>
      </c>
      <c r="F669" s="4" t="s">
        <v>87</v>
      </c>
      <c r="G669" s="4" t="s">
        <v>87</v>
      </c>
      <c r="H669" s="4" t="s">
        <v>40</v>
      </c>
      <c r="I669" s="4" t="s">
        <v>156</v>
      </c>
      <c r="J669" s="3">
        <v>4</v>
      </c>
      <c r="K669" s="3">
        <v>25</v>
      </c>
      <c r="L669" s="3">
        <v>0</v>
      </c>
      <c r="M669" s="3">
        <v>8</v>
      </c>
      <c r="N669" s="3">
        <v>0</v>
      </c>
      <c r="O669" s="3">
        <v>17</v>
      </c>
      <c r="P669" s="3">
        <f t="shared" si="0"/>
        <v>0</v>
      </c>
      <c r="Q669" s="3">
        <f t="shared" si="1"/>
        <v>0</v>
      </c>
      <c r="R669" s="3">
        <f t="shared" si="2"/>
        <v>68</v>
      </c>
      <c r="S669" s="11"/>
    </row>
    <row r="670" ht="13.5" customHeight="1" spans="1:21">
      <c r="A670" s="4" t="s">
        <v>60</v>
      </c>
      <c r="B670" s="3">
        <v>1330</v>
      </c>
      <c r="C670" s="3">
        <v>9133</v>
      </c>
      <c r="D670" s="3">
        <v>0.1</v>
      </c>
      <c r="E670" s="4" t="s">
        <v>43</v>
      </c>
      <c r="F670" s="4" t="s">
        <v>44</v>
      </c>
      <c r="G670" s="4" t="s">
        <v>45</v>
      </c>
      <c r="H670" s="4" t="s">
        <v>40</v>
      </c>
      <c r="I670" s="4" t="s">
        <v>156</v>
      </c>
      <c r="J670" s="3">
        <v>1</v>
      </c>
      <c r="K670" s="3">
        <v>25</v>
      </c>
      <c r="L670" s="3">
        <v>24</v>
      </c>
      <c r="M670" s="3">
        <v>0</v>
      </c>
      <c r="N670" s="3">
        <v>0</v>
      </c>
      <c r="O670" s="3">
        <v>1</v>
      </c>
      <c r="P670" s="3">
        <f t="shared" si="0"/>
        <v>0</v>
      </c>
      <c r="Q670" s="3">
        <f t="shared" si="1"/>
        <v>96</v>
      </c>
      <c r="R670" s="3">
        <f t="shared" si="2"/>
        <v>4</v>
      </c>
      <c r="S670" s="11">
        <f>AVERAGE(Q670:Q673)</f>
        <v>96.8713768115942</v>
      </c>
      <c r="T670" s="7">
        <f>AVERAGE(R670:R673)</f>
        <v>3.1286231884058</v>
      </c>
      <c r="U670" s="8">
        <f>(L670+L671+L672+L673+O670+O671+O672+O673)/(K670+K671+K672+K673)*100</f>
        <v>97</v>
      </c>
    </row>
    <row r="671" ht="13.5" customHeight="1" spans="1:19">
      <c r="A671" s="4" t="s">
        <v>60</v>
      </c>
      <c r="B671" s="3">
        <v>1330</v>
      </c>
      <c r="C671" s="3">
        <v>9133</v>
      </c>
      <c r="D671" s="3">
        <v>0.1</v>
      </c>
      <c r="E671" s="4" t="s">
        <v>43</v>
      </c>
      <c r="F671" s="4" t="s">
        <v>44</v>
      </c>
      <c r="G671" s="4" t="s">
        <v>45</v>
      </c>
      <c r="H671" s="4" t="s">
        <v>40</v>
      </c>
      <c r="I671" s="4" t="s">
        <v>156</v>
      </c>
      <c r="J671" s="3">
        <v>2</v>
      </c>
      <c r="K671" s="3">
        <v>25</v>
      </c>
      <c r="L671" s="3">
        <v>23</v>
      </c>
      <c r="M671" s="3">
        <v>0</v>
      </c>
      <c r="N671" s="3">
        <v>1</v>
      </c>
      <c r="O671" s="3">
        <v>1</v>
      </c>
      <c r="P671" s="3">
        <f t="shared" si="0"/>
        <v>0</v>
      </c>
      <c r="Q671" s="3">
        <f t="shared" si="1"/>
        <v>95.8333333333333</v>
      </c>
      <c r="R671" s="3">
        <f t="shared" si="2"/>
        <v>4.16666666666667</v>
      </c>
      <c r="S671" s="11"/>
    </row>
    <row r="672" ht="13.5" customHeight="1" spans="1:19">
      <c r="A672" s="4" t="s">
        <v>60</v>
      </c>
      <c r="B672" s="3">
        <v>1330</v>
      </c>
      <c r="C672" s="3">
        <v>9133</v>
      </c>
      <c r="D672" s="3">
        <v>0.1</v>
      </c>
      <c r="E672" s="4" t="s">
        <v>43</v>
      </c>
      <c r="F672" s="4" t="s">
        <v>44</v>
      </c>
      <c r="G672" s="4" t="s">
        <v>45</v>
      </c>
      <c r="H672" s="4" t="s">
        <v>40</v>
      </c>
      <c r="I672" s="4" t="s">
        <v>156</v>
      </c>
      <c r="J672" s="3">
        <v>3</v>
      </c>
      <c r="K672" s="3">
        <v>25</v>
      </c>
      <c r="L672" s="3">
        <v>25</v>
      </c>
      <c r="M672" s="3">
        <v>0</v>
      </c>
      <c r="N672" s="3">
        <v>0</v>
      </c>
      <c r="O672" s="3">
        <v>0</v>
      </c>
      <c r="P672" s="3">
        <f t="shared" si="0"/>
        <v>0</v>
      </c>
      <c r="Q672" s="3">
        <f t="shared" si="1"/>
        <v>100</v>
      </c>
      <c r="R672" s="3">
        <f t="shared" si="2"/>
        <v>0</v>
      </c>
      <c r="S672" s="11"/>
    </row>
    <row r="673" ht="13.5" customHeight="1" spans="1:19">
      <c r="A673" s="4" t="s">
        <v>60</v>
      </c>
      <c r="B673" s="3">
        <v>1330</v>
      </c>
      <c r="C673" s="3">
        <v>9133</v>
      </c>
      <c r="D673" s="3">
        <v>0.1</v>
      </c>
      <c r="E673" s="4" t="s">
        <v>43</v>
      </c>
      <c r="F673" s="4" t="s">
        <v>44</v>
      </c>
      <c r="G673" s="4" t="s">
        <v>45</v>
      </c>
      <c r="H673" s="4" t="s">
        <v>40</v>
      </c>
      <c r="I673" s="4" t="s">
        <v>156</v>
      </c>
      <c r="J673" s="3">
        <v>4</v>
      </c>
      <c r="K673" s="3">
        <v>25</v>
      </c>
      <c r="L673" s="3">
        <v>22</v>
      </c>
      <c r="M673" s="3">
        <v>0</v>
      </c>
      <c r="N673" s="3">
        <v>2</v>
      </c>
      <c r="O673" s="3">
        <v>1</v>
      </c>
      <c r="P673" s="3">
        <f t="shared" si="0"/>
        <v>0</v>
      </c>
      <c r="Q673" s="3">
        <f t="shared" si="1"/>
        <v>95.6521739130435</v>
      </c>
      <c r="R673" s="3">
        <f t="shared" si="2"/>
        <v>4.34782608695652</v>
      </c>
      <c r="S673" s="11"/>
    </row>
    <row r="674" ht="13.5" customHeight="1" spans="1:21">
      <c r="A674" s="4" t="s">
        <v>41</v>
      </c>
      <c r="B674" s="3">
        <v>1073</v>
      </c>
      <c r="C674" s="3">
        <v>6256</v>
      </c>
      <c r="D674" s="3">
        <v>0.1</v>
      </c>
      <c r="E674" s="4" t="s">
        <v>28</v>
      </c>
      <c r="F674" s="4" t="s">
        <v>150</v>
      </c>
      <c r="G674" s="4" t="s">
        <v>100</v>
      </c>
      <c r="H674" s="4" t="s">
        <v>25</v>
      </c>
      <c r="I674" s="4" t="s">
        <v>156</v>
      </c>
      <c r="J674" s="3">
        <v>1</v>
      </c>
      <c r="K674" s="3">
        <v>25</v>
      </c>
      <c r="L674" s="3">
        <v>1</v>
      </c>
      <c r="M674" s="3">
        <v>5</v>
      </c>
      <c r="N674" s="3">
        <v>7</v>
      </c>
      <c r="O674" s="3">
        <v>12</v>
      </c>
      <c r="P674" s="3">
        <f t="shared" si="0"/>
        <v>0</v>
      </c>
      <c r="Q674" s="3">
        <f t="shared" si="1"/>
        <v>5.55555555555556</v>
      </c>
      <c r="R674" s="3">
        <f t="shared" si="2"/>
        <v>66.6666666666667</v>
      </c>
      <c r="S674" s="11">
        <f>AVERAGE(Q674:Q677)</f>
        <v>16.1181139122316</v>
      </c>
      <c r="T674" s="7">
        <f>AVERAGE(R674:R677)</f>
        <v>69.0009337068161</v>
      </c>
      <c r="U674" s="8">
        <f>(L674+L675+L676+L677+O674+O675+O676+O677)/(K674+K675+K676+K677)*100</f>
        <v>63</v>
      </c>
    </row>
    <row r="675" ht="13.5" customHeight="1" spans="1:19">
      <c r="A675" s="4" t="s">
        <v>41</v>
      </c>
      <c r="B675" s="3">
        <v>1073</v>
      </c>
      <c r="C675" s="3">
        <v>6256</v>
      </c>
      <c r="D675" s="3">
        <v>0.1</v>
      </c>
      <c r="E675" s="4" t="s">
        <v>28</v>
      </c>
      <c r="F675" s="4" t="s">
        <v>150</v>
      </c>
      <c r="G675" s="4" t="s">
        <v>100</v>
      </c>
      <c r="H675" s="4" t="s">
        <v>25</v>
      </c>
      <c r="I675" s="4" t="s">
        <v>156</v>
      </c>
      <c r="J675" s="3">
        <v>2</v>
      </c>
      <c r="K675" s="3">
        <v>25</v>
      </c>
      <c r="L675" s="3">
        <v>4</v>
      </c>
      <c r="M675" s="3">
        <v>4</v>
      </c>
      <c r="N675" s="3">
        <v>7</v>
      </c>
      <c r="O675" s="3">
        <v>10</v>
      </c>
      <c r="P675" s="3">
        <f t="shared" si="0"/>
        <v>0</v>
      </c>
      <c r="Q675" s="3">
        <f t="shared" si="1"/>
        <v>22.2222222222222</v>
      </c>
      <c r="R675" s="3">
        <f t="shared" si="2"/>
        <v>55.5555555555556</v>
      </c>
      <c r="S675" s="11"/>
    </row>
    <row r="676" ht="13.5" customHeight="1" spans="1:19">
      <c r="A676" s="4" t="s">
        <v>41</v>
      </c>
      <c r="B676" s="3">
        <v>1073</v>
      </c>
      <c r="C676" s="3">
        <v>6256</v>
      </c>
      <c r="D676" s="3">
        <v>0.1</v>
      </c>
      <c r="E676" s="4" t="s">
        <v>28</v>
      </c>
      <c r="F676" s="4" t="s">
        <v>150</v>
      </c>
      <c r="G676" s="4" t="s">
        <v>100</v>
      </c>
      <c r="H676" s="4" t="s">
        <v>25</v>
      </c>
      <c r="I676" s="4" t="s">
        <v>156</v>
      </c>
      <c r="J676" s="3">
        <v>3</v>
      </c>
      <c r="K676" s="3">
        <v>25</v>
      </c>
      <c r="L676" s="3">
        <v>4</v>
      </c>
      <c r="M676" s="3">
        <v>2</v>
      </c>
      <c r="N676" s="3">
        <v>4</v>
      </c>
      <c r="O676" s="3">
        <v>15</v>
      </c>
      <c r="P676" s="3">
        <f t="shared" si="0"/>
        <v>0</v>
      </c>
      <c r="Q676" s="3">
        <f t="shared" si="1"/>
        <v>19.047619047619</v>
      </c>
      <c r="R676" s="3">
        <f t="shared" si="2"/>
        <v>71.4285714285714</v>
      </c>
      <c r="S676" s="11"/>
    </row>
    <row r="677" ht="13.5" customHeight="1" spans="1:19">
      <c r="A677" s="4" t="s">
        <v>41</v>
      </c>
      <c r="B677" s="3">
        <v>1073</v>
      </c>
      <c r="C677" s="3">
        <v>6256</v>
      </c>
      <c r="D677" s="3">
        <v>0.1</v>
      </c>
      <c r="E677" s="4" t="s">
        <v>28</v>
      </c>
      <c r="F677" s="4" t="s">
        <v>150</v>
      </c>
      <c r="G677" s="4" t="s">
        <v>100</v>
      </c>
      <c r="H677" s="4" t="s">
        <v>25</v>
      </c>
      <c r="I677" s="4" t="s">
        <v>156</v>
      </c>
      <c r="J677" s="3">
        <v>4</v>
      </c>
      <c r="K677" s="3">
        <v>25</v>
      </c>
      <c r="L677" s="3">
        <v>3</v>
      </c>
      <c r="M677" s="3">
        <v>0</v>
      </c>
      <c r="N677" s="3">
        <v>8</v>
      </c>
      <c r="O677" s="3">
        <v>14</v>
      </c>
      <c r="P677" s="3">
        <f t="shared" si="0"/>
        <v>0</v>
      </c>
      <c r="Q677" s="3">
        <f t="shared" si="1"/>
        <v>17.6470588235294</v>
      </c>
      <c r="R677" s="3">
        <f t="shared" si="2"/>
        <v>82.3529411764706</v>
      </c>
      <c r="S677" s="11"/>
    </row>
    <row r="678" ht="13.5" customHeight="1" spans="1:21">
      <c r="A678" s="4" t="s">
        <v>46</v>
      </c>
      <c r="B678" s="3">
        <v>1270</v>
      </c>
      <c r="C678" s="3">
        <v>8757</v>
      </c>
      <c r="D678" s="3">
        <v>0.1</v>
      </c>
      <c r="E678" s="4" t="s">
        <v>52</v>
      </c>
      <c r="F678" s="4" t="s">
        <v>80</v>
      </c>
      <c r="G678" s="4" t="s">
        <v>81</v>
      </c>
      <c r="H678" s="4" t="s">
        <v>40</v>
      </c>
      <c r="I678" s="4" t="s">
        <v>156</v>
      </c>
      <c r="J678" s="3">
        <v>1</v>
      </c>
      <c r="K678" s="3">
        <v>25</v>
      </c>
      <c r="L678" s="3">
        <v>25</v>
      </c>
      <c r="M678" s="3">
        <v>0</v>
      </c>
      <c r="N678" s="3">
        <v>0</v>
      </c>
      <c r="O678" s="3">
        <v>0</v>
      </c>
      <c r="P678" s="3">
        <f t="shared" si="0"/>
        <v>0</v>
      </c>
      <c r="Q678" s="3">
        <f t="shared" si="1"/>
        <v>100</v>
      </c>
      <c r="R678" s="3">
        <f t="shared" si="2"/>
        <v>0</v>
      </c>
      <c r="S678" s="11">
        <f>AVERAGE(Q678:Q681)</f>
        <v>99</v>
      </c>
      <c r="T678" s="7">
        <f>AVERAGE(R678:R681)</f>
        <v>1</v>
      </c>
      <c r="U678" s="8">
        <f>(L678+L679+L680+L681+O678+O679+O680+O681)/(K678+K679+K680+K681)*100</f>
        <v>99</v>
      </c>
    </row>
    <row r="679" ht="13.5" customHeight="1" spans="1:19">
      <c r="A679" s="4" t="s">
        <v>46</v>
      </c>
      <c r="B679" s="3">
        <v>1270</v>
      </c>
      <c r="C679" s="3">
        <v>8757</v>
      </c>
      <c r="D679" s="3">
        <v>0.1</v>
      </c>
      <c r="E679" s="4" t="s">
        <v>52</v>
      </c>
      <c r="F679" s="4" t="s">
        <v>80</v>
      </c>
      <c r="G679" s="4" t="s">
        <v>81</v>
      </c>
      <c r="H679" s="4" t="s">
        <v>40</v>
      </c>
      <c r="I679" s="4" t="s">
        <v>156</v>
      </c>
      <c r="J679" s="3">
        <v>2</v>
      </c>
      <c r="K679" s="3">
        <v>25</v>
      </c>
      <c r="L679" s="3">
        <v>25</v>
      </c>
      <c r="M679" s="3">
        <v>0</v>
      </c>
      <c r="N679" s="3">
        <v>0</v>
      </c>
      <c r="O679" s="3">
        <v>0</v>
      </c>
      <c r="P679" s="3">
        <f t="shared" si="0"/>
        <v>0</v>
      </c>
      <c r="Q679" s="3">
        <f t="shared" si="1"/>
        <v>100</v>
      </c>
      <c r="R679" s="3">
        <f t="shared" si="2"/>
        <v>0</v>
      </c>
      <c r="S679" s="11"/>
    </row>
    <row r="680" ht="13.5" customHeight="1" spans="1:19">
      <c r="A680" s="4" t="s">
        <v>46</v>
      </c>
      <c r="B680" s="3">
        <v>1270</v>
      </c>
      <c r="C680" s="3">
        <v>8757</v>
      </c>
      <c r="D680" s="3">
        <v>0.1</v>
      </c>
      <c r="E680" s="4" t="s">
        <v>52</v>
      </c>
      <c r="F680" s="4" t="s">
        <v>80</v>
      </c>
      <c r="G680" s="4" t="s">
        <v>81</v>
      </c>
      <c r="H680" s="4" t="s">
        <v>40</v>
      </c>
      <c r="I680" s="4" t="s">
        <v>156</v>
      </c>
      <c r="J680" s="3">
        <v>3</v>
      </c>
      <c r="K680" s="3">
        <v>25</v>
      </c>
      <c r="L680" s="3">
        <v>24</v>
      </c>
      <c r="M680" s="3">
        <v>0</v>
      </c>
      <c r="N680" s="3">
        <v>1</v>
      </c>
      <c r="O680" s="3">
        <v>0</v>
      </c>
      <c r="P680" s="3">
        <f t="shared" si="0"/>
        <v>0</v>
      </c>
      <c r="Q680" s="3">
        <f t="shared" si="1"/>
        <v>100</v>
      </c>
      <c r="R680" s="3">
        <f t="shared" si="2"/>
        <v>0</v>
      </c>
      <c r="S680" s="11"/>
    </row>
    <row r="681" ht="13.5" customHeight="1" spans="1:19">
      <c r="A681" s="4" t="s">
        <v>46</v>
      </c>
      <c r="B681" s="3">
        <v>1270</v>
      </c>
      <c r="C681" s="3">
        <v>8757</v>
      </c>
      <c r="D681" s="3">
        <v>0.1</v>
      </c>
      <c r="E681" s="4" t="s">
        <v>52</v>
      </c>
      <c r="F681" s="4" t="s">
        <v>80</v>
      </c>
      <c r="G681" s="4" t="s">
        <v>81</v>
      </c>
      <c r="H681" s="4" t="s">
        <v>40</v>
      </c>
      <c r="I681" s="4" t="s">
        <v>156</v>
      </c>
      <c r="J681" s="3">
        <v>4</v>
      </c>
      <c r="K681" s="3">
        <v>25</v>
      </c>
      <c r="L681" s="3">
        <v>24</v>
      </c>
      <c r="M681" s="3">
        <v>0</v>
      </c>
      <c r="N681" s="3">
        <v>0</v>
      </c>
      <c r="O681" s="3">
        <v>1</v>
      </c>
      <c r="P681" s="3">
        <f t="shared" si="0"/>
        <v>0</v>
      </c>
      <c r="Q681" s="3">
        <f t="shared" si="1"/>
        <v>96</v>
      </c>
      <c r="R681" s="3">
        <f t="shared" si="2"/>
        <v>4</v>
      </c>
      <c r="S681" s="11"/>
    </row>
    <row r="682" ht="13.5" customHeight="1" spans="1:21">
      <c r="A682" s="4" t="s">
        <v>42</v>
      </c>
      <c r="B682" s="3">
        <v>1441</v>
      </c>
      <c r="C682" s="3">
        <v>9420</v>
      </c>
      <c r="D682" s="3">
        <v>0.1</v>
      </c>
      <c r="E682" s="4" t="s">
        <v>28</v>
      </c>
      <c r="F682" s="4" t="s">
        <v>96</v>
      </c>
      <c r="G682" s="4" t="s">
        <v>100</v>
      </c>
      <c r="H682" s="4" t="s">
        <v>25</v>
      </c>
      <c r="I682" s="4" t="s">
        <v>156</v>
      </c>
      <c r="J682" s="3">
        <v>1</v>
      </c>
      <c r="K682" s="3">
        <v>25</v>
      </c>
      <c r="L682" s="3">
        <v>16</v>
      </c>
      <c r="M682" s="3">
        <v>1</v>
      </c>
      <c r="N682" s="3">
        <v>4</v>
      </c>
      <c r="O682" s="3">
        <v>4</v>
      </c>
      <c r="P682" s="3">
        <f t="shared" si="0"/>
        <v>0</v>
      </c>
      <c r="Q682" s="3">
        <f t="shared" si="1"/>
        <v>76.1904761904762</v>
      </c>
      <c r="R682" s="3">
        <f t="shared" si="2"/>
        <v>19.047619047619</v>
      </c>
      <c r="S682" s="11">
        <f>AVERAGE(Q682:Q685)</f>
        <v>57.1587301587302</v>
      </c>
      <c r="T682" s="7">
        <f>AVERAGE(R682:R685)</f>
        <v>34.484126984127</v>
      </c>
      <c r="U682" s="8">
        <f>(L682+L683+L684+L685+O682+O683+O684+O685)/(K682+K683+K684+K685)*100</f>
        <v>82</v>
      </c>
    </row>
    <row r="683" ht="13.5" customHeight="1" spans="1:19">
      <c r="A683" s="4" t="s">
        <v>42</v>
      </c>
      <c r="B683" s="3">
        <v>1441</v>
      </c>
      <c r="C683" s="3">
        <v>9420</v>
      </c>
      <c r="D683" s="3">
        <v>0.1</v>
      </c>
      <c r="E683" s="4" t="s">
        <v>28</v>
      </c>
      <c r="F683" s="4" t="s">
        <v>96</v>
      </c>
      <c r="G683" s="4" t="s">
        <v>100</v>
      </c>
      <c r="H683" s="4" t="s">
        <v>25</v>
      </c>
      <c r="I683" s="4" t="s">
        <v>156</v>
      </c>
      <c r="J683" s="3">
        <v>2</v>
      </c>
      <c r="K683" s="3">
        <v>25</v>
      </c>
      <c r="L683" s="3">
        <v>12</v>
      </c>
      <c r="M683" s="3">
        <v>3</v>
      </c>
      <c r="N683" s="3">
        <v>0</v>
      </c>
      <c r="O683" s="3">
        <v>10</v>
      </c>
      <c r="P683" s="3">
        <f t="shared" si="0"/>
        <v>0</v>
      </c>
      <c r="Q683" s="3">
        <f t="shared" si="1"/>
        <v>48</v>
      </c>
      <c r="R683" s="3">
        <f t="shared" si="2"/>
        <v>40</v>
      </c>
      <c r="S683" s="11"/>
    </row>
    <row r="684" ht="13.5" customHeight="1" spans="1:19">
      <c r="A684" s="4" t="s">
        <v>42</v>
      </c>
      <c r="B684" s="3">
        <v>1441</v>
      </c>
      <c r="C684" s="3">
        <v>9420</v>
      </c>
      <c r="D684" s="3">
        <v>0.1</v>
      </c>
      <c r="E684" s="4" t="s">
        <v>28</v>
      </c>
      <c r="F684" s="4" t="s">
        <v>96</v>
      </c>
      <c r="G684" s="4" t="s">
        <v>100</v>
      </c>
      <c r="H684" s="4" t="s">
        <v>25</v>
      </c>
      <c r="I684" s="4" t="s">
        <v>156</v>
      </c>
      <c r="J684" s="3">
        <v>3</v>
      </c>
      <c r="K684" s="3">
        <v>25</v>
      </c>
      <c r="L684" s="3">
        <v>15</v>
      </c>
      <c r="M684" s="3">
        <v>0</v>
      </c>
      <c r="N684" s="3">
        <v>0</v>
      </c>
      <c r="O684" s="3">
        <v>10</v>
      </c>
      <c r="P684" s="3">
        <f t="shared" si="0"/>
        <v>0</v>
      </c>
      <c r="Q684" s="3">
        <f t="shared" si="1"/>
        <v>60</v>
      </c>
      <c r="R684" s="3">
        <f t="shared" si="2"/>
        <v>40</v>
      </c>
      <c r="S684" s="11"/>
    </row>
    <row r="685" ht="13.5" customHeight="1" spans="1:19">
      <c r="A685" s="4" t="s">
        <v>42</v>
      </c>
      <c r="B685" s="3">
        <v>1441</v>
      </c>
      <c r="C685" s="3">
        <v>9420</v>
      </c>
      <c r="D685" s="3">
        <v>0.1</v>
      </c>
      <c r="E685" s="4" t="s">
        <v>28</v>
      </c>
      <c r="F685" s="4" t="s">
        <v>96</v>
      </c>
      <c r="G685" s="4" t="s">
        <v>100</v>
      </c>
      <c r="H685" s="4" t="s">
        <v>25</v>
      </c>
      <c r="I685" s="4" t="s">
        <v>156</v>
      </c>
      <c r="J685" s="3">
        <v>4</v>
      </c>
      <c r="K685" s="3">
        <v>25</v>
      </c>
      <c r="L685" s="3">
        <v>8</v>
      </c>
      <c r="M685" s="3">
        <v>3</v>
      </c>
      <c r="N685" s="3">
        <v>7</v>
      </c>
      <c r="O685" s="3">
        <v>7</v>
      </c>
      <c r="P685" s="3">
        <f t="shared" si="0"/>
        <v>0</v>
      </c>
      <c r="Q685" s="3">
        <f t="shared" si="1"/>
        <v>44.4444444444444</v>
      </c>
      <c r="R685" s="3">
        <f t="shared" si="2"/>
        <v>38.8888888888889</v>
      </c>
      <c r="S685" s="11"/>
    </row>
    <row r="686" ht="13.5" customHeight="1" spans="1:21">
      <c r="A686" s="4" t="s">
        <v>63</v>
      </c>
      <c r="B686" s="3">
        <v>1020</v>
      </c>
      <c r="C686" s="3">
        <v>5331</v>
      </c>
      <c r="D686" s="3">
        <v>0.1</v>
      </c>
      <c r="E686" s="4" t="s">
        <v>103</v>
      </c>
      <c r="F686" s="4" t="s">
        <v>104</v>
      </c>
      <c r="G686" s="4" t="s">
        <v>105</v>
      </c>
      <c r="H686" s="4" t="s">
        <v>40</v>
      </c>
      <c r="I686" s="4" t="s">
        <v>156</v>
      </c>
      <c r="J686" s="3">
        <v>1</v>
      </c>
      <c r="K686" s="3">
        <v>25</v>
      </c>
      <c r="L686" s="3">
        <v>1</v>
      </c>
      <c r="M686" s="3">
        <v>3</v>
      </c>
      <c r="N686" s="3">
        <v>3</v>
      </c>
      <c r="O686" s="3">
        <v>18</v>
      </c>
      <c r="P686" s="3">
        <f t="shared" si="0"/>
        <v>0</v>
      </c>
      <c r="Q686" s="3">
        <f t="shared" si="1"/>
        <v>4.54545454545455</v>
      </c>
      <c r="R686" s="3">
        <f t="shared" si="2"/>
        <v>81.8181818181818</v>
      </c>
      <c r="S686" s="11">
        <f>AVERAGE(Q686:Q689)</f>
        <v>11.3863636363636</v>
      </c>
      <c r="T686" s="7">
        <f>AVERAGE(R686:R689)</f>
        <v>84.2045454545455</v>
      </c>
      <c r="U686" s="8">
        <f>(L686+L687+L688+L689+O686+O687+O688+O689)/(K686+K687+K688+K689)*100</f>
        <v>92.6315789473684</v>
      </c>
    </row>
    <row r="687" ht="13.5" customHeight="1" spans="1:19">
      <c r="A687" s="4" t="s">
        <v>63</v>
      </c>
      <c r="B687" s="3">
        <v>1020</v>
      </c>
      <c r="C687" s="3">
        <v>5331</v>
      </c>
      <c r="D687" s="3">
        <v>0.1</v>
      </c>
      <c r="E687" s="4" t="s">
        <v>103</v>
      </c>
      <c r="F687" s="4" t="s">
        <v>104</v>
      </c>
      <c r="G687" s="4" t="s">
        <v>105</v>
      </c>
      <c r="H687" s="4" t="s">
        <v>40</v>
      </c>
      <c r="I687" s="4" t="s">
        <v>156</v>
      </c>
      <c r="J687" s="3">
        <v>2</v>
      </c>
      <c r="K687" s="3">
        <v>20</v>
      </c>
      <c r="L687" s="3">
        <v>1</v>
      </c>
      <c r="M687" s="3">
        <v>0</v>
      </c>
      <c r="N687" s="3">
        <v>0</v>
      </c>
      <c r="O687" s="3">
        <v>19</v>
      </c>
      <c r="P687" s="3">
        <f t="shared" si="0"/>
        <v>0</v>
      </c>
      <c r="Q687" s="3">
        <f t="shared" si="1"/>
        <v>5</v>
      </c>
      <c r="R687" s="3">
        <f t="shared" si="2"/>
        <v>95</v>
      </c>
      <c r="S687" s="11"/>
    </row>
    <row r="688" ht="13.5" customHeight="1" spans="1:19">
      <c r="A688" s="4" t="s">
        <v>63</v>
      </c>
      <c r="B688" s="3">
        <v>1020</v>
      </c>
      <c r="C688" s="3">
        <v>5331</v>
      </c>
      <c r="D688" s="3">
        <v>0.1</v>
      </c>
      <c r="E688" s="4" t="s">
        <v>103</v>
      </c>
      <c r="F688" s="4" t="s">
        <v>104</v>
      </c>
      <c r="G688" s="4" t="s">
        <v>105</v>
      </c>
      <c r="H688" s="4" t="s">
        <v>40</v>
      </c>
      <c r="I688" s="4" t="s">
        <v>156</v>
      </c>
      <c r="J688" s="3">
        <v>3</v>
      </c>
      <c r="K688" s="3">
        <v>25</v>
      </c>
      <c r="L688" s="3">
        <v>6</v>
      </c>
      <c r="M688" s="3">
        <v>0</v>
      </c>
      <c r="N688" s="3">
        <v>0</v>
      </c>
      <c r="O688" s="3">
        <v>19</v>
      </c>
      <c r="P688" s="3">
        <f t="shared" si="0"/>
        <v>0</v>
      </c>
      <c r="Q688" s="3">
        <f t="shared" si="1"/>
        <v>24</v>
      </c>
      <c r="R688" s="3">
        <f t="shared" si="2"/>
        <v>76</v>
      </c>
      <c r="S688" s="11"/>
    </row>
    <row r="689" ht="13.5" customHeight="1" spans="1:19">
      <c r="A689" s="4" t="s">
        <v>63</v>
      </c>
      <c r="B689" s="3">
        <v>1020</v>
      </c>
      <c r="C689" s="3">
        <v>5331</v>
      </c>
      <c r="D689" s="3">
        <v>0.1</v>
      </c>
      <c r="E689" s="4" t="s">
        <v>103</v>
      </c>
      <c r="F689" s="4" t="s">
        <v>104</v>
      </c>
      <c r="G689" s="4" t="s">
        <v>105</v>
      </c>
      <c r="H689" s="4" t="s">
        <v>40</v>
      </c>
      <c r="I689" s="4" t="s">
        <v>156</v>
      </c>
      <c r="J689" s="3">
        <v>4</v>
      </c>
      <c r="K689" s="3">
        <v>25</v>
      </c>
      <c r="L689" s="3">
        <v>3</v>
      </c>
      <c r="M689" s="3">
        <v>1</v>
      </c>
      <c r="N689" s="3">
        <v>0</v>
      </c>
      <c r="O689" s="3">
        <v>21</v>
      </c>
      <c r="P689" s="3">
        <f t="shared" si="0"/>
        <v>0</v>
      </c>
      <c r="Q689" s="3">
        <f t="shared" si="1"/>
        <v>12</v>
      </c>
      <c r="R689" s="3">
        <f t="shared" si="2"/>
        <v>84</v>
      </c>
      <c r="S689" s="11"/>
    </row>
    <row r="690" ht="13.5" customHeight="1" spans="1:21">
      <c r="A690" s="4" t="s">
        <v>93</v>
      </c>
      <c r="B690" s="3">
        <v>1661</v>
      </c>
      <c r="C690" s="3">
        <v>10216</v>
      </c>
      <c r="D690" s="3">
        <v>1</v>
      </c>
      <c r="E690" s="4" t="s">
        <v>28</v>
      </c>
      <c r="F690" s="4" t="s">
        <v>94</v>
      </c>
      <c r="G690" s="4" t="s">
        <v>95</v>
      </c>
      <c r="H690" s="4" t="s">
        <v>40</v>
      </c>
      <c r="I690" s="4" t="s">
        <v>156</v>
      </c>
      <c r="J690" s="3">
        <v>1</v>
      </c>
      <c r="K690" s="3">
        <v>25</v>
      </c>
      <c r="L690" s="3">
        <v>25</v>
      </c>
      <c r="M690" s="3">
        <v>0</v>
      </c>
      <c r="N690" s="3">
        <v>0</v>
      </c>
      <c r="O690" s="3">
        <v>0</v>
      </c>
      <c r="P690" s="3">
        <f t="shared" si="0"/>
        <v>0</v>
      </c>
      <c r="Q690" s="3">
        <f t="shared" si="1"/>
        <v>100</v>
      </c>
      <c r="R690" s="3">
        <f t="shared" si="2"/>
        <v>0</v>
      </c>
      <c r="S690" s="11">
        <f>AVERAGE(Q690:Q693)</f>
        <v>85</v>
      </c>
      <c r="T690" s="7">
        <f>AVERAGE(R690:R693)</f>
        <v>5</v>
      </c>
      <c r="U690" s="8">
        <f>(L690+L691+L692+L693+O690+O691+O692+O693)/(K690+K691+K692+K693)*100</f>
        <v>90</v>
      </c>
    </row>
    <row r="691" ht="13.5" customHeight="1" spans="1:19">
      <c r="A691" s="4" t="s">
        <v>93</v>
      </c>
      <c r="B691" s="3">
        <v>1661</v>
      </c>
      <c r="C691" s="3">
        <v>10216</v>
      </c>
      <c r="D691" s="3">
        <v>1</v>
      </c>
      <c r="E691" s="4" t="s">
        <v>28</v>
      </c>
      <c r="F691" s="4" t="s">
        <v>94</v>
      </c>
      <c r="G691" s="4" t="s">
        <v>95</v>
      </c>
      <c r="H691" s="4" t="s">
        <v>40</v>
      </c>
      <c r="I691" s="4" t="s">
        <v>156</v>
      </c>
      <c r="J691" s="3">
        <v>2</v>
      </c>
      <c r="K691" s="3">
        <v>25</v>
      </c>
      <c r="L691" s="3">
        <v>21</v>
      </c>
      <c r="M691" s="3">
        <v>4</v>
      </c>
      <c r="N691" s="3">
        <v>0</v>
      </c>
      <c r="O691" s="3">
        <v>0</v>
      </c>
      <c r="P691" s="3">
        <f t="shared" si="0"/>
        <v>0</v>
      </c>
      <c r="Q691" s="3">
        <f t="shared" si="1"/>
        <v>84</v>
      </c>
      <c r="R691" s="3">
        <f t="shared" si="2"/>
        <v>0</v>
      </c>
      <c r="S691" s="11"/>
    </row>
    <row r="692" ht="13.5" customHeight="1" spans="1:19">
      <c r="A692" s="4" t="s">
        <v>93</v>
      </c>
      <c r="B692" s="3">
        <v>1661</v>
      </c>
      <c r="C692" s="3">
        <v>10216</v>
      </c>
      <c r="D692" s="3">
        <v>1</v>
      </c>
      <c r="E692" s="4" t="s">
        <v>28</v>
      </c>
      <c r="F692" s="4" t="s">
        <v>94</v>
      </c>
      <c r="G692" s="4" t="s">
        <v>95</v>
      </c>
      <c r="H692" s="4" t="s">
        <v>40</v>
      </c>
      <c r="I692" s="4" t="s">
        <v>156</v>
      </c>
      <c r="J692" s="3">
        <v>3</v>
      </c>
      <c r="K692" s="3">
        <v>25</v>
      </c>
      <c r="L692" s="3">
        <v>19</v>
      </c>
      <c r="M692" s="3">
        <v>6</v>
      </c>
      <c r="N692" s="3">
        <v>0</v>
      </c>
      <c r="O692" s="3">
        <v>0</v>
      </c>
      <c r="P692" s="3">
        <f t="shared" si="0"/>
        <v>0</v>
      </c>
      <c r="Q692" s="3">
        <f t="shared" si="1"/>
        <v>76</v>
      </c>
      <c r="R692" s="3">
        <f t="shared" si="2"/>
        <v>0</v>
      </c>
      <c r="S692" s="11"/>
    </row>
    <row r="693" ht="13.5" customHeight="1" spans="1:19">
      <c r="A693" s="4" t="s">
        <v>93</v>
      </c>
      <c r="B693" s="3">
        <v>1661</v>
      </c>
      <c r="C693" s="3">
        <v>10216</v>
      </c>
      <c r="D693" s="3">
        <v>1</v>
      </c>
      <c r="E693" s="4" t="s">
        <v>28</v>
      </c>
      <c r="F693" s="4" t="s">
        <v>94</v>
      </c>
      <c r="G693" s="4" t="s">
        <v>95</v>
      </c>
      <c r="H693" s="4" t="s">
        <v>40</v>
      </c>
      <c r="I693" s="4" t="s">
        <v>156</v>
      </c>
      <c r="J693" s="3">
        <v>4</v>
      </c>
      <c r="K693" s="3">
        <v>25</v>
      </c>
      <c r="L693" s="3">
        <v>20</v>
      </c>
      <c r="M693" s="3">
        <v>0</v>
      </c>
      <c r="N693" s="3">
        <v>0</v>
      </c>
      <c r="O693" s="3">
        <v>5</v>
      </c>
      <c r="P693" s="3">
        <f t="shared" si="0"/>
        <v>0</v>
      </c>
      <c r="Q693" s="3">
        <f t="shared" si="1"/>
        <v>80</v>
      </c>
      <c r="R693" s="3">
        <f t="shared" si="2"/>
        <v>20</v>
      </c>
      <c r="S693" s="11"/>
    </row>
    <row r="694" ht="13.5" customHeight="1" spans="1:21">
      <c r="A694" s="4" t="s">
        <v>60</v>
      </c>
      <c r="B694" s="3">
        <v>1330</v>
      </c>
      <c r="C694" s="3">
        <v>9133</v>
      </c>
      <c r="D694" s="3">
        <v>0.1</v>
      </c>
      <c r="E694" s="4" t="s">
        <v>98</v>
      </c>
      <c r="F694" s="4" t="s">
        <v>99</v>
      </c>
      <c r="G694" s="4" t="s">
        <v>99</v>
      </c>
      <c r="H694" s="4" t="s">
        <v>62</v>
      </c>
      <c r="I694" s="4" t="s">
        <v>156</v>
      </c>
      <c r="J694" s="3">
        <v>1</v>
      </c>
      <c r="K694" s="3">
        <v>25</v>
      </c>
      <c r="L694" s="3">
        <v>15</v>
      </c>
      <c r="M694" s="3">
        <v>0</v>
      </c>
      <c r="N694" s="3">
        <v>5</v>
      </c>
      <c r="O694" s="3">
        <v>5</v>
      </c>
      <c r="P694" s="3">
        <f t="shared" si="0"/>
        <v>0</v>
      </c>
      <c r="Q694" s="3">
        <f t="shared" si="1"/>
        <v>75</v>
      </c>
      <c r="R694" s="3">
        <f t="shared" si="2"/>
        <v>25</v>
      </c>
      <c r="S694" s="11">
        <f>AVERAGE(Q694:Q697)</f>
        <v>71.8585526315789</v>
      </c>
      <c r="T694" s="7">
        <f>AVERAGE(R694:R697)</f>
        <v>19.0131578947368</v>
      </c>
      <c r="U694" s="8">
        <f>(L694+L695+L696+L697+O694+O695+O696+O697)/(K694+K695+K696+K697)*100</f>
        <v>70.4081632653061</v>
      </c>
    </row>
    <row r="695" ht="13.5" customHeight="1" spans="1:19">
      <c r="A695" s="4" t="s">
        <v>60</v>
      </c>
      <c r="B695" s="3">
        <v>1330</v>
      </c>
      <c r="C695" s="3">
        <v>9133</v>
      </c>
      <c r="D695" s="3">
        <v>0.1</v>
      </c>
      <c r="E695" s="4" t="s">
        <v>98</v>
      </c>
      <c r="F695" s="4" t="s">
        <v>99</v>
      </c>
      <c r="G695" s="4" t="s">
        <v>99</v>
      </c>
      <c r="H695" s="4" t="s">
        <v>62</v>
      </c>
      <c r="I695" s="4" t="s">
        <v>156</v>
      </c>
      <c r="J695" s="3">
        <v>2</v>
      </c>
      <c r="K695" s="3">
        <v>25</v>
      </c>
      <c r="L695" s="3">
        <v>14</v>
      </c>
      <c r="M695" s="3">
        <v>0</v>
      </c>
      <c r="N695" s="3">
        <v>5</v>
      </c>
      <c r="O695" s="3">
        <v>6</v>
      </c>
      <c r="P695" s="3">
        <f t="shared" si="0"/>
        <v>0</v>
      </c>
      <c r="Q695" s="3">
        <f t="shared" si="1"/>
        <v>70</v>
      </c>
      <c r="R695" s="3">
        <f t="shared" si="2"/>
        <v>30</v>
      </c>
      <c r="S695" s="11"/>
    </row>
    <row r="696" ht="13.5" customHeight="1" spans="1:19">
      <c r="A696" s="4" t="s">
        <v>60</v>
      </c>
      <c r="B696" s="3">
        <v>1330</v>
      </c>
      <c r="C696" s="3">
        <v>9133</v>
      </c>
      <c r="D696" s="3">
        <v>0.1</v>
      </c>
      <c r="E696" s="4" t="s">
        <v>98</v>
      </c>
      <c r="F696" s="4" t="s">
        <v>99</v>
      </c>
      <c r="G696" s="4" t="s">
        <v>99</v>
      </c>
      <c r="H696" s="4" t="s">
        <v>62</v>
      </c>
      <c r="I696" s="4" t="s">
        <v>156</v>
      </c>
      <c r="J696" s="3">
        <v>3</v>
      </c>
      <c r="K696" s="3">
        <v>23</v>
      </c>
      <c r="L696" s="3">
        <v>14</v>
      </c>
      <c r="M696" s="3">
        <v>1</v>
      </c>
      <c r="N696" s="3">
        <v>4</v>
      </c>
      <c r="O696" s="3">
        <v>4</v>
      </c>
      <c r="P696" s="3">
        <f t="shared" si="0"/>
        <v>0</v>
      </c>
      <c r="Q696" s="3">
        <f t="shared" si="1"/>
        <v>73.6842105263158</v>
      </c>
      <c r="R696" s="3">
        <f t="shared" si="2"/>
        <v>21.0526315789474</v>
      </c>
      <c r="S696" s="11"/>
    </row>
    <row r="697" ht="13.5" customHeight="1" spans="1:19">
      <c r="A697" s="4" t="s">
        <v>60</v>
      </c>
      <c r="B697" s="3">
        <v>1330</v>
      </c>
      <c r="C697" s="3">
        <v>9133</v>
      </c>
      <c r="D697" s="3">
        <v>0.1</v>
      </c>
      <c r="E697" s="4" t="s">
        <v>98</v>
      </c>
      <c r="F697" s="4" t="s">
        <v>99</v>
      </c>
      <c r="G697" s="4" t="s">
        <v>99</v>
      </c>
      <c r="H697" s="4" t="s">
        <v>62</v>
      </c>
      <c r="I697" s="4" t="s">
        <v>156</v>
      </c>
      <c r="J697" s="3">
        <v>4</v>
      </c>
      <c r="K697" s="3">
        <v>25</v>
      </c>
      <c r="L697" s="3">
        <v>11</v>
      </c>
      <c r="M697" s="3">
        <v>5</v>
      </c>
      <c r="N697" s="3">
        <v>9</v>
      </c>
      <c r="O697" s="3">
        <v>0</v>
      </c>
      <c r="P697" s="3">
        <f t="shared" si="0"/>
        <v>0</v>
      </c>
      <c r="Q697" s="3">
        <f t="shared" si="1"/>
        <v>68.75</v>
      </c>
      <c r="R697" s="3">
        <f t="shared" si="2"/>
        <v>0</v>
      </c>
      <c r="S697" s="11"/>
    </row>
    <row r="698" ht="13.5" customHeight="1" spans="1:21">
      <c r="A698" s="4" t="s">
        <v>91</v>
      </c>
      <c r="B698" s="3">
        <v>1007</v>
      </c>
      <c r="C698" s="3">
        <v>4939</v>
      </c>
      <c r="D698" s="3">
        <v>0.1</v>
      </c>
      <c r="E698" s="4" t="s">
        <v>130</v>
      </c>
      <c r="F698" s="4" t="s">
        <v>131</v>
      </c>
      <c r="G698" s="4" t="s">
        <v>132</v>
      </c>
      <c r="H698" s="4" t="s">
        <v>40</v>
      </c>
      <c r="I698" s="4" t="s">
        <v>156</v>
      </c>
      <c r="J698" s="3">
        <v>1</v>
      </c>
      <c r="K698" s="3">
        <v>25</v>
      </c>
      <c r="L698" s="3">
        <v>1</v>
      </c>
      <c r="M698" s="3">
        <v>0</v>
      </c>
      <c r="N698" s="3">
        <v>0</v>
      </c>
      <c r="O698" s="3">
        <v>24</v>
      </c>
      <c r="P698" s="3">
        <f t="shared" si="0"/>
        <v>0</v>
      </c>
      <c r="Q698" s="3">
        <f t="shared" si="1"/>
        <v>4</v>
      </c>
      <c r="R698" s="3">
        <f t="shared" si="2"/>
        <v>96</v>
      </c>
      <c r="S698" s="11">
        <f>AVERAGE(Q698:Q701)</f>
        <v>2</v>
      </c>
      <c r="T698" s="7">
        <f>AVERAGE(R698:R701)</f>
        <v>93.9166666666667</v>
      </c>
      <c r="U698" s="8">
        <f>(L698+L699+L700+L701+O698+O699+O700+O701)/(K698+K699+K700+K701)*100</f>
        <v>93</v>
      </c>
    </row>
    <row r="699" ht="13.5" customHeight="1" spans="1:19">
      <c r="A699" s="4" t="s">
        <v>91</v>
      </c>
      <c r="B699" s="3">
        <v>1007</v>
      </c>
      <c r="C699" s="3">
        <v>4939</v>
      </c>
      <c r="D699" s="3">
        <v>0.1</v>
      </c>
      <c r="E699" s="4" t="s">
        <v>130</v>
      </c>
      <c r="F699" s="4" t="s">
        <v>131</v>
      </c>
      <c r="G699" s="4" t="s">
        <v>132</v>
      </c>
      <c r="H699" s="4" t="s">
        <v>40</v>
      </c>
      <c r="I699" s="4" t="s">
        <v>156</v>
      </c>
      <c r="J699" s="3">
        <v>2</v>
      </c>
      <c r="K699" s="3">
        <v>25</v>
      </c>
      <c r="L699" s="3">
        <v>1</v>
      </c>
      <c r="M699" s="3">
        <v>2</v>
      </c>
      <c r="N699" s="3">
        <v>0</v>
      </c>
      <c r="O699" s="3">
        <v>22</v>
      </c>
      <c r="P699" s="3">
        <f t="shared" si="0"/>
        <v>0</v>
      </c>
      <c r="Q699" s="3">
        <f t="shared" si="1"/>
        <v>4</v>
      </c>
      <c r="R699" s="3">
        <f t="shared" si="2"/>
        <v>88</v>
      </c>
      <c r="S699" s="11"/>
    </row>
    <row r="700" ht="13.5" customHeight="1" spans="1:19">
      <c r="A700" s="4" t="s">
        <v>91</v>
      </c>
      <c r="B700" s="3">
        <v>1007</v>
      </c>
      <c r="C700" s="3">
        <v>4939</v>
      </c>
      <c r="D700" s="3">
        <v>0.1</v>
      </c>
      <c r="E700" s="4" t="s">
        <v>130</v>
      </c>
      <c r="F700" s="4" t="s">
        <v>131</v>
      </c>
      <c r="G700" s="4" t="s">
        <v>132</v>
      </c>
      <c r="H700" s="4" t="s">
        <v>40</v>
      </c>
      <c r="I700" s="4" t="s">
        <v>156</v>
      </c>
      <c r="J700" s="3">
        <v>3</v>
      </c>
      <c r="K700" s="3">
        <v>25</v>
      </c>
      <c r="L700" s="3">
        <v>0</v>
      </c>
      <c r="M700" s="3">
        <v>2</v>
      </c>
      <c r="N700" s="3">
        <v>1</v>
      </c>
      <c r="O700" s="3">
        <v>22</v>
      </c>
      <c r="P700" s="3">
        <f t="shared" si="0"/>
        <v>0</v>
      </c>
      <c r="Q700" s="3">
        <f t="shared" si="1"/>
        <v>0</v>
      </c>
      <c r="R700" s="3">
        <f t="shared" si="2"/>
        <v>91.6666666666667</v>
      </c>
      <c r="S700" s="11"/>
    </row>
    <row r="701" ht="13.5" customHeight="1" spans="1:19">
      <c r="A701" s="4" t="s">
        <v>91</v>
      </c>
      <c r="B701" s="3">
        <v>1007</v>
      </c>
      <c r="C701" s="3">
        <v>4939</v>
      </c>
      <c r="D701" s="3">
        <v>0.1</v>
      </c>
      <c r="E701" s="4" t="s">
        <v>130</v>
      </c>
      <c r="F701" s="4" t="s">
        <v>131</v>
      </c>
      <c r="G701" s="4" t="s">
        <v>132</v>
      </c>
      <c r="H701" s="4" t="s">
        <v>40</v>
      </c>
      <c r="I701" s="4" t="s">
        <v>156</v>
      </c>
      <c r="J701" s="3">
        <v>4</v>
      </c>
      <c r="K701" s="3">
        <v>25</v>
      </c>
      <c r="L701" s="3">
        <v>0</v>
      </c>
      <c r="M701" s="3">
        <v>0</v>
      </c>
      <c r="N701" s="3">
        <v>2</v>
      </c>
      <c r="O701" s="3">
        <v>23</v>
      </c>
      <c r="P701" s="3">
        <f t="shared" si="0"/>
        <v>0</v>
      </c>
      <c r="Q701" s="3">
        <f t="shared" si="1"/>
        <v>0</v>
      </c>
      <c r="R701" s="3">
        <f t="shared" si="2"/>
        <v>100</v>
      </c>
      <c r="S701" s="11"/>
    </row>
    <row r="702" ht="13.5" customHeight="1" spans="1:21">
      <c r="A702" s="4" t="s">
        <v>57</v>
      </c>
      <c r="B702" s="3">
        <v>1847</v>
      </c>
      <c r="C702" s="3">
        <v>10763</v>
      </c>
      <c r="D702" s="3">
        <v>2</v>
      </c>
      <c r="E702" s="4" t="s">
        <v>22</v>
      </c>
      <c r="F702" s="4" t="s">
        <v>137</v>
      </c>
      <c r="G702" s="4" t="s">
        <v>137</v>
      </c>
      <c r="H702" s="4" t="s">
        <v>40</v>
      </c>
      <c r="I702" s="4" t="s">
        <v>156</v>
      </c>
      <c r="J702" s="3">
        <v>1</v>
      </c>
      <c r="K702" s="3">
        <v>25</v>
      </c>
      <c r="L702" s="3">
        <v>10</v>
      </c>
      <c r="M702" s="3">
        <v>12</v>
      </c>
      <c r="N702" s="3">
        <v>3</v>
      </c>
      <c r="O702" s="3">
        <v>0</v>
      </c>
      <c r="P702" s="3">
        <f t="shared" si="0"/>
        <v>0</v>
      </c>
      <c r="Q702" s="3">
        <f t="shared" si="1"/>
        <v>45.4545454545455</v>
      </c>
      <c r="R702" s="3">
        <f t="shared" si="2"/>
        <v>0</v>
      </c>
      <c r="S702" s="11">
        <f>AVERAGE(Q702:Q705)</f>
        <v>45.2060276679842</v>
      </c>
      <c r="T702" s="7">
        <f>AVERAGE(R702:R705)</f>
        <v>0</v>
      </c>
      <c r="U702" s="8">
        <f>(L702+L703+L704+L705+O702+O703+O704+O705)/(K702+K703+K704+K705)*100</f>
        <v>42</v>
      </c>
    </row>
    <row r="703" ht="13.5" customHeight="1" spans="1:19">
      <c r="A703" s="4" t="s">
        <v>57</v>
      </c>
      <c r="B703" s="3">
        <v>1847</v>
      </c>
      <c r="C703" s="3">
        <v>10763</v>
      </c>
      <c r="D703" s="3">
        <v>2</v>
      </c>
      <c r="E703" s="4" t="s">
        <v>22</v>
      </c>
      <c r="F703" s="4" t="s">
        <v>137</v>
      </c>
      <c r="G703" s="4" t="s">
        <v>137</v>
      </c>
      <c r="H703" s="4" t="s">
        <v>40</v>
      </c>
      <c r="I703" s="4" t="s">
        <v>156</v>
      </c>
      <c r="J703" s="3">
        <v>2</v>
      </c>
      <c r="K703" s="3">
        <v>25</v>
      </c>
      <c r="L703" s="3">
        <v>3</v>
      </c>
      <c r="M703" s="3">
        <v>22</v>
      </c>
      <c r="N703" s="3">
        <v>0</v>
      </c>
      <c r="O703" s="3">
        <v>0</v>
      </c>
      <c r="P703" s="3">
        <f t="shared" si="0"/>
        <v>0</v>
      </c>
      <c r="Q703" s="3">
        <f t="shared" si="1"/>
        <v>12</v>
      </c>
      <c r="R703" s="3">
        <f t="shared" si="2"/>
        <v>0</v>
      </c>
      <c r="S703" s="11"/>
    </row>
    <row r="704" ht="13.5" customHeight="1" spans="1:19">
      <c r="A704" s="4" t="s">
        <v>57</v>
      </c>
      <c r="B704" s="3">
        <v>1847</v>
      </c>
      <c r="C704" s="3">
        <v>10763</v>
      </c>
      <c r="D704" s="3">
        <v>2</v>
      </c>
      <c r="E704" s="4" t="s">
        <v>22</v>
      </c>
      <c r="F704" s="4" t="s">
        <v>137</v>
      </c>
      <c r="G704" s="4" t="s">
        <v>137</v>
      </c>
      <c r="H704" s="4" t="s">
        <v>40</v>
      </c>
      <c r="I704" s="4" t="s">
        <v>156</v>
      </c>
      <c r="J704" s="3">
        <v>3</v>
      </c>
      <c r="K704" s="3">
        <v>25</v>
      </c>
      <c r="L704" s="3">
        <v>14</v>
      </c>
      <c r="M704" s="3">
        <v>9</v>
      </c>
      <c r="N704" s="3">
        <v>2</v>
      </c>
      <c r="O704" s="3">
        <v>0</v>
      </c>
      <c r="P704" s="3">
        <f t="shared" si="0"/>
        <v>0</v>
      </c>
      <c r="Q704" s="3">
        <f t="shared" si="1"/>
        <v>60.8695652173913</v>
      </c>
      <c r="R704" s="3">
        <f t="shared" si="2"/>
        <v>0</v>
      </c>
      <c r="S704" s="11"/>
    </row>
    <row r="705" ht="13.5" customHeight="1" spans="1:19">
      <c r="A705" s="4" t="s">
        <v>57</v>
      </c>
      <c r="B705" s="3">
        <v>1847</v>
      </c>
      <c r="C705" s="3">
        <v>10763</v>
      </c>
      <c r="D705" s="3">
        <v>2</v>
      </c>
      <c r="E705" s="4" t="s">
        <v>22</v>
      </c>
      <c r="F705" s="4" t="s">
        <v>137</v>
      </c>
      <c r="G705" s="4" t="s">
        <v>137</v>
      </c>
      <c r="H705" s="4" t="s">
        <v>40</v>
      </c>
      <c r="I705" s="4" t="s">
        <v>156</v>
      </c>
      <c r="J705" s="3">
        <v>4</v>
      </c>
      <c r="K705" s="3">
        <v>25</v>
      </c>
      <c r="L705" s="3">
        <v>15</v>
      </c>
      <c r="M705" s="3">
        <v>9</v>
      </c>
      <c r="N705" s="3">
        <v>1</v>
      </c>
      <c r="O705" s="3">
        <v>0</v>
      </c>
      <c r="P705" s="3">
        <f t="shared" si="0"/>
        <v>0</v>
      </c>
      <c r="Q705" s="3">
        <f t="shared" si="1"/>
        <v>62.5</v>
      </c>
      <c r="R705" s="3">
        <f t="shared" si="2"/>
        <v>0</v>
      </c>
      <c r="S705" s="11"/>
    </row>
    <row r="706" ht="13.5" customHeight="1" spans="1:21">
      <c r="A706" s="4" t="s">
        <v>46</v>
      </c>
      <c r="B706" s="3">
        <v>1270</v>
      </c>
      <c r="C706" s="3">
        <v>8757</v>
      </c>
      <c r="D706" s="3">
        <v>0.1</v>
      </c>
      <c r="E706" s="4" t="s">
        <v>52</v>
      </c>
      <c r="F706" s="4" t="s">
        <v>55</v>
      </c>
      <c r="G706" s="4" t="s">
        <v>56</v>
      </c>
      <c r="H706" s="4" t="s">
        <v>40</v>
      </c>
      <c r="I706" s="4" t="s">
        <v>156</v>
      </c>
      <c r="J706" s="3">
        <v>1</v>
      </c>
      <c r="K706" s="3">
        <v>25</v>
      </c>
      <c r="L706" s="3">
        <v>0</v>
      </c>
      <c r="M706" s="3">
        <v>0</v>
      </c>
      <c r="N706" s="3">
        <v>0</v>
      </c>
      <c r="O706" s="3">
        <v>25</v>
      </c>
      <c r="P706" s="3">
        <f t="shared" si="0"/>
        <v>0</v>
      </c>
      <c r="Q706" s="3">
        <f t="shared" si="1"/>
        <v>0</v>
      </c>
      <c r="R706" s="3">
        <f t="shared" si="2"/>
        <v>100</v>
      </c>
      <c r="S706" s="11">
        <f>AVERAGE(Q706:Q709)</f>
        <v>0</v>
      </c>
      <c r="T706" s="7">
        <f>AVERAGE(R706:R709)</f>
        <v>100</v>
      </c>
      <c r="U706" s="8">
        <f>(L706+L707+L708+L709+O706+O707+O708+O709)/(K706+K707+K708+K709)*100</f>
        <v>100</v>
      </c>
    </row>
    <row r="707" ht="13.5" customHeight="1" spans="1:19">
      <c r="A707" s="4" t="s">
        <v>46</v>
      </c>
      <c r="B707" s="3">
        <v>1270</v>
      </c>
      <c r="C707" s="3">
        <v>8757</v>
      </c>
      <c r="D707" s="3">
        <v>0.1</v>
      </c>
      <c r="E707" s="4" t="s">
        <v>52</v>
      </c>
      <c r="F707" s="4" t="s">
        <v>55</v>
      </c>
      <c r="G707" s="4" t="s">
        <v>56</v>
      </c>
      <c r="H707" s="4" t="s">
        <v>40</v>
      </c>
      <c r="I707" s="4" t="s">
        <v>156</v>
      </c>
      <c r="J707" s="3">
        <v>2</v>
      </c>
      <c r="K707" s="3">
        <v>25</v>
      </c>
      <c r="L707" s="3">
        <v>0</v>
      </c>
      <c r="M707" s="3">
        <v>0</v>
      </c>
      <c r="N707" s="3">
        <v>0</v>
      </c>
      <c r="O707" s="3">
        <v>25</v>
      </c>
      <c r="P707" s="3">
        <f t="shared" si="0"/>
        <v>0</v>
      </c>
      <c r="Q707" s="3">
        <f t="shared" si="1"/>
        <v>0</v>
      </c>
      <c r="R707" s="3">
        <f t="shared" si="2"/>
        <v>100</v>
      </c>
      <c r="S707" s="11"/>
    </row>
    <row r="708" ht="13.5" customHeight="1" spans="1:19">
      <c r="A708" s="4" t="s">
        <v>46</v>
      </c>
      <c r="B708" s="3">
        <v>1270</v>
      </c>
      <c r="C708" s="3">
        <v>8757</v>
      </c>
      <c r="D708" s="3">
        <v>0.1</v>
      </c>
      <c r="E708" s="4" t="s">
        <v>52</v>
      </c>
      <c r="F708" s="4" t="s">
        <v>55</v>
      </c>
      <c r="G708" s="4" t="s">
        <v>56</v>
      </c>
      <c r="H708" s="4" t="s">
        <v>40</v>
      </c>
      <c r="I708" s="4" t="s">
        <v>156</v>
      </c>
      <c r="J708" s="3">
        <v>3</v>
      </c>
      <c r="K708" s="3">
        <v>25</v>
      </c>
      <c r="L708" s="3">
        <v>0</v>
      </c>
      <c r="M708" s="3">
        <v>0</v>
      </c>
      <c r="N708" s="3">
        <v>0</v>
      </c>
      <c r="O708" s="3">
        <v>25</v>
      </c>
      <c r="P708" s="3">
        <f t="shared" si="0"/>
        <v>0</v>
      </c>
      <c r="Q708" s="3">
        <f t="shared" si="1"/>
        <v>0</v>
      </c>
      <c r="R708" s="3">
        <f t="shared" si="2"/>
        <v>100</v>
      </c>
      <c r="S708" s="11"/>
    </row>
    <row r="709" ht="13.5" customHeight="1" spans="1:19">
      <c r="A709" s="4" t="s">
        <v>46</v>
      </c>
      <c r="B709" s="3">
        <v>1270</v>
      </c>
      <c r="C709" s="3">
        <v>8757</v>
      </c>
      <c r="D709" s="3">
        <v>0.1</v>
      </c>
      <c r="E709" s="4" t="s">
        <v>52</v>
      </c>
      <c r="F709" s="4" t="s">
        <v>55</v>
      </c>
      <c r="G709" s="4" t="s">
        <v>56</v>
      </c>
      <c r="H709" s="4" t="s">
        <v>40</v>
      </c>
      <c r="I709" s="4" t="s">
        <v>156</v>
      </c>
      <c r="J709" s="3">
        <v>4</v>
      </c>
      <c r="K709" s="3">
        <v>25</v>
      </c>
      <c r="L709" s="3">
        <v>0</v>
      </c>
      <c r="M709" s="3">
        <v>0</v>
      </c>
      <c r="N709" s="3">
        <v>0</v>
      </c>
      <c r="O709" s="3">
        <v>25</v>
      </c>
      <c r="P709" s="3">
        <f t="shared" si="0"/>
        <v>0</v>
      </c>
      <c r="Q709" s="3">
        <f t="shared" si="1"/>
        <v>0</v>
      </c>
      <c r="R709" s="3">
        <f t="shared" si="2"/>
        <v>100</v>
      </c>
      <c r="S709" s="11"/>
    </row>
    <row r="710" ht="13.5" customHeight="1" spans="1:21">
      <c r="A710" s="4" t="s">
        <v>57</v>
      </c>
      <c r="B710" s="3">
        <v>1847</v>
      </c>
      <c r="C710" s="3">
        <v>10763</v>
      </c>
      <c r="D710" s="3">
        <v>0.1</v>
      </c>
      <c r="E710" s="4" t="s">
        <v>52</v>
      </c>
      <c r="F710" s="4" t="s">
        <v>58</v>
      </c>
      <c r="G710" s="4" t="s">
        <v>59</v>
      </c>
      <c r="H710" s="4" t="s">
        <v>25</v>
      </c>
      <c r="I710" s="4" t="s">
        <v>156</v>
      </c>
      <c r="J710" s="3">
        <v>1</v>
      </c>
      <c r="K710" s="3">
        <v>25</v>
      </c>
      <c r="L710" s="3">
        <v>22</v>
      </c>
      <c r="M710" s="3">
        <v>0</v>
      </c>
      <c r="N710" s="3">
        <v>1</v>
      </c>
      <c r="O710" s="3">
        <v>2</v>
      </c>
      <c r="P710" s="3">
        <f t="shared" si="0"/>
        <v>0</v>
      </c>
      <c r="Q710" s="3">
        <f t="shared" si="1"/>
        <v>91.6666666666667</v>
      </c>
      <c r="R710" s="3">
        <f t="shared" si="2"/>
        <v>8.33333333333333</v>
      </c>
      <c r="S710" s="11">
        <f>AVERAGE(Q710:Q713)</f>
        <v>94.6557971014493</v>
      </c>
      <c r="T710" s="7">
        <f>AVERAGE(R710:R713)</f>
        <v>3.17028985507246</v>
      </c>
      <c r="U710" s="8">
        <f>(L710+L711+L712+L713+O710+O711+O712+O713)/(K710+K711+K712+K713)*100</f>
        <v>92</v>
      </c>
    </row>
    <row r="711" ht="13.5" customHeight="1" spans="1:19">
      <c r="A711" s="4" t="s">
        <v>57</v>
      </c>
      <c r="B711" s="3">
        <v>1847</v>
      </c>
      <c r="C711" s="3">
        <v>10763</v>
      </c>
      <c r="D711" s="3">
        <v>0.1</v>
      </c>
      <c r="E711" s="4" t="s">
        <v>52</v>
      </c>
      <c r="F711" s="4" t="s">
        <v>58</v>
      </c>
      <c r="G711" s="4" t="s">
        <v>59</v>
      </c>
      <c r="H711" s="4" t="s">
        <v>25</v>
      </c>
      <c r="I711" s="4" t="s">
        <v>156</v>
      </c>
      <c r="J711" s="3">
        <v>2</v>
      </c>
      <c r="K711" s="3">
        <v>25</v>
      </c>
      <c r="L711" s="3">
        <v>22</v>
      </c>
      <c r="M711" s="3">
        <v>0</v>
      </c>
      <c r="N711" s="3">
        <v>2</v>
      </c>
      <c r="O711" s="3">
        <v>1</v>
      </c>
      <c r="P711" s="3">
        <f t="shared" si="0"/>
        <v>0</v>
      </c>
      <c r="Q711" s="3">
        <f t="shared" si="1"/>
        <v>95.6521739130435</v>
      </c>
      <c r="R711" s="3">
        <f t="shared" si="2"/>
        <v>4.34782608695652</v>
      </c>
      <c r="S711" s="11"/>
    </row>
    <row r="712" ht="13.5" customHeight="1" spans="1:19">
      <c r="A712" s="4" t="s">
        <v>57</v>
      </c>
      <c r="B712" s="3">
        <v>1847</v>
      </c>
      <c r="C712" s="3">
        <v>10763</v>
      </c>
      <c r="D712" s="3">
        <v>0.1</v>
      </c>
      <c r="E712" s="4" t="s">
        <v>52</v>
      </c>
      <c r="F712" s="4" t="s">
        <v>58</v>
      </c>
      <c r="G712" s="4" t="s">
        <v>59</v>
      </c>
      <c r="H712" s="4" t="s">
        <v>25</v>
      </c>
      <c r="I712" s="4" t="s">
        <v>156</v>
      </c>
      <c r="J712" s="3">
        <v>3</v>
      </c>
      <c r="K712" s="3">
        <v>25</v>
      </c>
      <c r="L712" s="3">
        <v>24</v>
      </c>
      <c r="M712" s="3">
        <v>0</v>
      </c>
      <c r="N712" s="3">
        <v>1</v>
      </c>
      <c r="O712" s="3">
        <v>0</v>
      </c>
      <c r="P712" s="3">
        <f t="shared" si="0"/>
        <v>0</v>
      </c>
      <c r="Q712" s="3">
        <f t="shared" si="1"/>
        <v>100</v>
      </c>
      <c r="R712" s="3">
        <f t="shared" si="2"/>
        <v>0</v>
      </c>
      <c r="S712" s="11"/>
    </row>
    <row r="713" ht="13.5" customHeight="1" spans="1:19">
      <c r="A713" s="4" t="s">
        <v>57</v>
      </c>
      <c r="B713" s="3">
        <v>1847</v>
      </c>
      <c r="C713" s="3">
        <v>10763</v>
      </c>
      <c r="D713" s="3">
        <v>0.1</v>
      </c>
      <c r="E713" s="4" t="s">
        <v>52</v>
      </c>
      <c r="F713" s="4" t="s">
        <v>58</v>
      </c>
      <c r="G713" s="4" t="s">
        <v>59</v>
      </c>
      <c r="H713" s="4" t="s">
        <v>25</v>
      </c>
      <c r="I713" s="4" t="s">
        <v>156</v>
      </c>
      <c r="J713" s="3">
        <v>4</v>
      </c>
      <c r="K713" s="3">
        <v>25</v>
      </c>
      <c r="L713" s="3">
        <v>21</v>
      </c>
      <c r="M713" s="3">
        <v>2</v>
      </c>
      <c r="N713" s="3">
        <v>2</v>
      </c>
      <c r="O713" s="3">
        <v>0</v>
      </c>
      <c r="P713" s="3">
        <f t="shared" si="0"/>
        <v>0</v>
      </c>
      <c r="Q713" s="3">
        <f t="shared" si="1"/>
        <v>91.304347826087</v>
      </c>
      <c r="R713" s="3">
        <f t="shared" si="2"/>
        <v>0</v>
      </c>
      <c r="S713" s="11"/>
    </row>
    <row r="714" ht="13.5" customHeight="1" spans="1:21">
      <c r="A714" s="4" t="s">
        <v>121</v>
      </c>
      <c r="B714" s="3">
        <v>1017</v>
      </c>
      <c r="C714" s="3">
        <v>5556</v>
      </c>
      <c r="D714" s="3">
        <v>3</v>
      </c>
      <c r="E714" s="4" t="s">
        <v>33</v>
      </c>
      <c r="F714" s="4" t="s">
        <v>64</v>
      </c>
      <c r="G714" s="4" t="s">
        <v>65</v>
      </c>
      <c r="H714" s="4" t="s">
        <v>40</v>
      </c>
      <c r="I714" s="4" t="s">
        <v>156</v>
      </c>
      <c r="J714" s="3">
        <v>1</v>
      </c>
      <c r="K714" s="3">
        <v>25</v>
      </c>
      <c r="L714" s="3">
        <v>7</v>
      </c>
      <c r="M714" s="3">
        <v>2</v>
      </c>
      <c r="N714" s="3">
        <v>1</v>
      </c>
      <c r="O714" s="3">
        <v>15</v>
      </c>
      <c r="P714" s="3">
        <f t="shared" si="0"/>
        <v>0</v>
      </c>
      <c r="Q714" s="3">
        <f t="shared" si="1"/>
        <v>29.1666666666667</v>
      </c>
      <c r="R714" s="3">
        <f t="shared" si="2"/>
        <v>62.5</v>
      </c>
      <c r="S714" s="11">
        <f>AVERAGE(Q714:Q717)</f>
        <v>21.2944664031621</v>
      </c>
      <c r="T714" s="7">
        <f>AVERAGE(R714:R717)</f>
        <v>71.2779973649539</v>
      </c>
      <c r="U714" s="8">
        <f>(L714+L715+L716+L717+O714+O715+O716+O717)/(K714+K715+K716+K717)*100</f>
        <v>86</v>
      </c>
    </row>
    <row r="715" ht="13.5" customHeight="1" spans="1:19">
      <c r="A715" s="4" t="s">
        <v>121</v>
      </c>
      <c r="B715" s="3">
        <v>1017</v>
      </c>
      <c r="C715" s="3">
        <v>5556</v>
      </c>
      <c r="D715" s="3">
        <v>3</v>
      </c>
      <c r="E715" s="4" t="s">
        <v>33</v>
      </c>
      <c r="F715" s="4" t="s">
        <v>64</v>
      </c>
      <c r="G715" s="4" t="s">
        <v>65</v>
      </c>
      <c r="H715" s="4" t="s">
        <v>40</v>
      </c>
      <c r="I715" s="4" t="s">
        <v>156</v>
      </c>
      <c r="J715" s="3">
        <v>2</v>
      </c>
      <c r="K715" s="3">
        <v>25</v>
      </c>
      <c r="L715" s="3">
        <v>6</v>
      </c>
      <c r="M715" s="3">
        <v>3</v>
      </c>
      <c r="N715" s="3">
        <v>2</v>
      </c>
      <c r="O715" s="3">
        <v>14</v>
      </c>
      <c r="P715" s="3">
        <f t="shared" si="0"/>
        <v>0</v>
      </c>
      <c r="Q715" s="3">
        <f t="shared" si="1"/>
        <v>26.0869565217391</v>
      </c>
      <c r="R715" s="3">
        <f t="shared" si="2"/>
        <v>60.8695652173913</v>
      </c>
      <c r="S715" s="11"/>
    </row>
    <row r="716" ht="13.5" customHeight="1" spans="1:19">
      <c r="A716" s="4" t="s">
        <v>121</v>
      </c>
      <c r="B716" s="3">
        <v>1017</v>
      </c>
      <c r="C716" s="3">
        <v>5556</v>
      </c>
      <c r="D716" s="3">
        <v>3</v>
      </c>
      <c r="E716" s="4" t="s">
        <v>33</v>
      </c>
      <c r="F716" s="4" t="s">
        <v>64</v>
      </c>
      <c r="G716" s="4" t="s">
        <v>65</v>
      </c>
      <c r="H716" s="4" t="s">
        <v>40</v>
      </c>
      <c r="I716" s="4" t="s">
        <v>156</v>
      </c>
      <c r="J716" s="3">
        <v>3</v>
      </c>
      <c r="K716" s="3">
        <v>25</v>
      </c>
      <c r="L716" s="3">
        <v>5</v>
      </c>
      <c r="M716" s="3">
        <v>2</v>
      </c>
      <c r="N716" s="3">
        <v>1</v>
      </c>
      <c r="O716" s="3">
        <v>17</v>
      </c>
      <c r="P716" s="3">
        <f t="shared" si="0"/>
        <v>0</v>
      </c>
      <c r="Q716" s="3">
        <f t="shared" si="1"/>
        <v>20.8333333333333</v>
      </c>
      <c r="R716" s="3">
        <f t="shared" si="2"/>
        <v>70.8333333333333</v>
      </c>
      <c r="S716" s="11"/>
    </row>
    <row r="717" ht="13.5" customHeight="1" spans="1:19">
      <c r="A717" s="4" t="s">
        <v>121</v>
      </c>
      <c r="B717" s="3">
        <v>1017</v>
      </c>
      <c r="C717" s="3">
        <v>5556</v>
      </c>
      <c r="D717" s="3">
        <v>3</v>
      </c>
      <c r="E717" s="4" t="s">
        <v>33</v>
      </c>
      <c r="F717" s="4" t="s">
        <v>64</v>
      </c>
      <c r="G717" s="4" t="s">
        <v>65</v>
      </c>
      <c r="H717" s="4" t="s">
        <v>40</v>
      </c>
      <c r="I717" s="4" t="s">
        <v>156</v>
      </c>
      <c r="J717" s="3">
        <v>4</v>
      </c>
      <c r="K717" s="3">
        <v>25</v>
      </c>
      <c r="L717" s="3">
        <v>2</v>
      </c>
      <c r="M717" s="3">
        <v>0</v>
      </c>
      <c r="N717" s="3">
        <v>3</v>
      </c>
      <c r="O717" s="3">
        <v>20</v>
      </c>
      <c r="P717" s="3">
        <f t="shared" si="0"/>
        <v>0</v>
      </c>
      <c r="Q717" s="3">
        <f t="shared" si="1"/>
        <v>9.09090909090909</v>
      </c>
      <c r="R717" s="3">
        <f t="shared" si="2"/>
        <v>90.9090909090909</v>
      </c>
      <c r="S717" s="11"/>
    </row>
    <row r="718" ht="13.5" customHeight="1" spans="1:21">
      <c r="A718" s="4" t="s">
        <v>37</v>
      </c>
      <c r="B718" s="3">
        <v>1016</v>
      </c>
      <c r="C718" s="3">
        <v>5657</v>
      </c>
      <c r="D718" s="3">
        <v>0.1</v>
      </c>
      <c r="E718" s="4" t="s">
        <v>33</v>
      </c>
      <c r="F718" s="4" t="s">
        <v>136</v>
      </c>
      <c r="G718" s="3" t="s">
        <v>136</v>
      </c>
      <c r="H718" s="4" t="s">
        <v>40</v>
      </c>
      <c r="I718" s="4" t="s">
        <v>156</v>
      </c>
      <c r="J718" s="3">
        <v>1</v>
      </c>
      <c r="K718" s="3">
        <v>25</v>
      </c>
      <c r="L718" s="3">
        <v>5</v>
      </c>
      <c r="M718" s="3">
        <v>13</v>
      </c>
      <c r="N718" s="3">
        <v>0</v>
      </c>
      <c r="O718" s="3">
        <v>7</v>
      </c>
      <c r="P718" s="3">
        <f t="shared" si="0"/>
        <v>0</v>
      </c>
      <c r="Q718" s="3">
        <f t="shared" si="1"/>
        <v>20</v>
      </c>
      <c r="R718" s="3">
        <f t="shared" si="2"/>
        <v>28</v>
      </c>
      <c r="S718" s="11">
        <f>AVERAGE(Q718:Q721)</f>
        <v>39.7826086956522</v>
      </c>
      <c r="T718" s="7">
        <f>AVERAGE(R718:R721)</f>
        <v>22.7114624505929</v>
      </c>
      <c r="U718" s="8">
        <f>(L718+L719+L720+L721+O718+O719+O720+O721)/(K718+K719+K720+K721)*100</f>
        <v>57</v>
      </c>
    </row>
    <row r="719" ht="13.5" customHeight="1" spans="1:19">
      <c r="A719" s="4" t="s">
        <v>37</v>
      </c>
      <c r="B719" s="3">
        <v>1016</v>
      </c>
      <c r="C719" s="3">
        <v>5657</v>
      </c>
      <c r="D719" s="3">
        <v>0.1</v>
      </c>
      <c r="E719" s="4" t="s">
        <v>33</v>
      </c>
      <c r="F719" s="4" t="s">
        <v>136</v>
      </c>
      <c r="G719" s="3" t="s">
        <v>136</v>
      </c>
      <c r="H719" s="4" t="s">
        <v>40</v>
      </c>
      <c r="I719" s="4" t="s">
        <v>156</v>
      </c>
      <c r="J719" s="3">
        <v>2</v>
      </c>
      <c r="K719" s="3">
        <v>25</v>
      </c>
      <c r="L719" s="3">
        <v>9</v>
      </c>
      <c r="M719" s="3">
        <v>10</v>
      </c>
      <c r="N719" s="3">
        <v>2</v>
      </c>
      <c r="O719" s="3">
        <v>4</v>
      </c>
      <c r="P719" s="3">
        <f t="shared" si="0"/>
        <v>0</v>
      </c>
      <c r="Q719" s="3">
        <f t="shared" si="1"/>
        <v>39.1304347826087</v>
      </c>
      <c r="R719" s="3">
        <f t="shared" si="2"/>
        <v>17.3913043478261</v>
      </c>
      <c r="S719" s="11"/>
    </row>
    <row r="720" ht="13.5" customHeight="1" spans="1:19">
      <c r="A720" s="4" t="s">
        <v>37</v>
      </c>
      <c r="B720" s="3">
        <v>1016</v>
      </c>
      <c r="C720" s="3">
        <v>5657</v>
      </c>
      <c r="D720" s="3">
        <v>0.1</v>
      </c>
      <c r="E720" s="4" t="s">
        <v>33</v>
      </c>
      <c r="F720" s="4" t="s">
        <v>136</v>
      </c>
      <c r="G720" s="3" t="s">
        <v>136</v>
      </c>
      <c r="H720" s="4" t="s">
        <v>40</v>
      </c>
      <c r="I720" s="4" t="s">
        <v>156</v>
      </c>
      <c r="J720" s="3">
        <v>3</v>
      </c>
      <c r="K720" s="3">
        <v>25</v>
      </c>
      <c r="L720" s="3">
        <v>11</v>
      </c>
      <c r="M720" s="3">
        <v>3</v>
      </c>
      <c r="N720" s="3">
        <v>3</v>
      </c>
      <c r="O720" s="3">
        <v>8</v>
      </c>
      <c r="P720" s="3">
        <f t="shared" si="0"/>
        <v>0</v>
      </c>
      <c r="Q720" s="3">
        <f t="shared" si="1"/>
        <v>50</v>
      </c>
      <c r="R720" s="3">
        <f t="shared" si="2"/>
        <v>36.3636363636364</v>
      </c>
      <c r="S720" s="11"/>
    </row>
    <row r="721" ht="13.5" customHeight="1" spans="1:19">
      <c r="A721" s="4" t="s">
        <v>37</v>
      </c>
      <c r="B721" s="3">
        <v>1016</v>
      </c>
      <c r="C721" s="3">
        <v>5657</v>
      </c>
      <c r="D721" s="3">
        <v>0.1</v>
      </c>
      <c r="E721" s="4" t="s">
        <v>33</v>
      </c>
      <c r="F721" s="4" t="s">
        <v>136</v>
      </c>
      <c r="G721" s="3" t="s">
        <v>136</v>
      </c>
      <c r="H721" s="4" t="s">
        <v>40</v>
      </c>
      <c r="I721" s="4" t="s">
        <v>156</v>
      </c>
      <c r="J721" s="3">
        <v>4</v>
      </c>
      <c r="K721" s="3">
        <v>25</v>
      </c>
      <c r="L721" s="3">
        <v>11</v>
      </c>
      <c r="M721" s="3">
        <v>9</v>
      </c>
      <c r="N721" s="3">
        <v>3</v>
      </c>
      <c r="O721" s="3">
        <v>2</v>
      </c>
      <c r="P721" s="3">
        <f t="shared" si="0"/>
        <v>0</v>
      </c>
      <c r="Q721" s="3">
        <f t="shared" si="1"/>
        <v>50</v>
      </c>
      <c r="R721" s="3">
        <f t="shared" si="2"/>
        <v>9.09090909090909</v>
      </c>
      <c r="S721" s="11"/>
    </row>
    <row r="722" ht="13.5" customHeight="1" spans="1:21">
      <c r="A722" s="4" t="s">
        <v>91</v>
      </c>
      <c r="B722" s="3">
        <v>1007</v>
      </c>
      <c r="C722" s="3">
        <v>4939</v>
      </c>
      <c r="D722" s="3">
        <v>1</v>
      </c>
      <c r="E722" s="4" t="s">
        <v>33</v>
      </c>
      <c r="F722" s="4" t="s">
        <v>64</v>
      </c>
      <c r="G722" s="4" t="s">
        <v>65</v>
      </c>
      <c r="H722" s="4" t="s">
        <v>40</v>
      </c>
      <c r="I722" s="4" t="s">
        <v>156</v>
      </c>
      <c r="J722" s="3">
        <v>1</v>
      </c>
      <c r="K722" s="3">
        <v>25</v>
      </c>
      <c r="L722" s="3">
        <v>11</v>
      </c>
      <c r="M722" s="3">
        <v>3</v>
      </c>
      <c r="N722" s="3">
        <v>1</v>
      </c>
      <c r="O722" s="3">
        <v>10</v>
      </c>
      <c r="P722" s="3">
        <f t="shared" si="0"/>
        <v>0</v>
      </c>
      <c r="Q722" s="3">
        <f t="shared" si="1"/>
        <v>45.8333333333333</v>
      </c>
      <c r="R722" s="3">
        <f t="shared" si="2"/>
        <v>41.6666666666667</v>
      </c>
      <c r="S722" s="11">
        <f>AVERAGE(Q722:Q725)</f>
        <v>37.3435441370224</v>
      </c>
      <c r="T722" s="7">
        <f>AVERAGE(R722:R725)</f>
        <v>42.873023715415</v>
      </c>
      <c r="U722" s="8">
        <f>(L722+L723+L724+L725+O722+O723+O724+O725)/(K722+K723+K724+K725)*100</f>
        <v>75</v>
      </c>
    </row>
    <row r="723" ht="13.5" customHeight="1" spans="1:19">
      <c r="A723" s="4" t="s">
        <v>91</v>
      </c>
      <c r="B723" s="3">
        <v>1007</v>
      </c>
      <c r="C723" s="3">
        <v>4939</v>
      </c>
      <c r="D723" s="3">
        <v>1</v>
      </c>
      <c r="E723" s="4" t="s">
        <v>33</v>
      </c>
      <c r="F723" s="4" t="s">
        <v>64</v>
      </c>
      <c r="G723" s="4" t="s">
        <v>65</v>
      </c>
      <c r="H723" s="4" t="s">
        <v>40</v>
      </c>
      <c r="I723" s="4" t="s">
        <v>156</v>
      </c>
      <c r="J723" s="3">
        <v>2</v>
      </c>
      <c r="K723" s="3">
        <v>25</v>
      </c>
      <c r="L723" s="3">
        <v>11</v>
      </c>
      <c r="M723" s="3">
        <v>2</v>
      </c>
      <c r="N723" s="3">
        <v>1</v>
      </c>
      <c r="O723" s="3">
        <v>11</v>
      </c>
      <c r="P723" s="3">
        <f t="shared" si="0"/>
        <v>0</v>
      </c>
      <c r="Q723" s="3">
        <f t="shared" si="1"/>
        <v>45.8333333333333</v>
      </c>
      <c r="R723" s="3">
        <f t="shared" si="2"/>
        <v>45.8333333333333</v>
      </c>
      <c r="S723" s="11"/>
    </row>
    <row r="724" ht="13.5" customHeight="1" spans="1:19">
      <c r="A724" s="4" t="s">
        <v>91</v>
      </c>
      <c r="B724" s="3">
        <v>1007</v>
      </c>
      <c r="C724" s="3">
        <v>4939</v>
      </c>
      <c r="D724" s="3">
        <v>1</v>
      </c>
      <c r="E724" s="4" t="s">
        <v>33</v>
      </c>
      <c r="F724" s="4" t="s">
        <v>64</v>
      </c>
      <c r="G724" s="4" t="s">
        <v>65</v>
      </c>
      <c r="H724" s="4" t="s">
        <v>40</v>
      </c>
      <c r="I724" s="4" t="s">
        <v>156</v>
      </c>
      <c r="J724" s="3">
        <v>3</v>
      </c>
      <c r="K724" s="3">
        <v>25</v>
      </c>
      <c r="L724" s="3">
        <v>7</v>
      </c>
      <c r="M724" s="3">
        <v>4</v>
      </c>
      <c r="N724" s="3">
        <v>2</v>
      </c>
      <c r="O724" s="3">
        <v>12</v>
      </c>
      <c r="P724" s="3">
        <f t="shared" si="0"/>
        <v>0</v>
      </c>
      <c r="Q724" s="3">
        <f t="shared" si="1"/>
        <v>30.4347826086957</v>
      </c>
      <c r="R724" s="3">
        <f t="shared" si="2"/>
        <v>52.1739130434783</v>
      </c>
      <c r="S724" s="11"/>
    </row>
    <row r="725" ht="13.5" customHeight="1" spans="1:19">
      <c r="A725" s="4" t="s">
        <v>91</v>
      </c>
      <c r="B725" s="3">
        <v>1007</v>
      </c>
      <c r="C725" s="3">
        <v>4939</v>
      </c>
      <c r="D725" s="3">
        <v>1</v>
      </c>
      <c r="E725" s="4" t="s">
        <v>33</v>
      </c>
      <c r="F725" s="4" t="s">
        <v>64</v>
      </c>
      <c r="G725" s="4" t="s">
        <v>65</v>
      </c>
      <c r="H725" s="4" t="s">
        <v>40</v>
      </c>
      <c r="I725" s="4" t="s">
        <v>156</v>
      </c>
      <c r="J725" s="3">
        <v>4</v>
      </c>
      <c r="K725" s="3">
        <v>25</v>
      </c>
      <c r="L725" s="3">
        <v>6</v>
      </c>
      <c r="M725" s="3">
        <v>9</v>
      </c>
      <c r="N725" s="3">
        <v>3</v>
      </c>
      <c r="O725" s="3">
        <v>7</v>
      </c>
      <c r="P725" s="3">
        <f t="shared" si="0"/>
        <v>0</v>
      </c>
      <c r="Q725" s="3">
        <f t="shared" si="1"/>
        <v>27.2727272727273</v>
      </c>
      <c r="R725" s="3">
        <f t="shared" si="2"/>
        <v>31.8181818181818</v>
      </c>
      <c r="S725" s="11"/>
    </row>
    <row r="726" ht="13.5" customHeight="1" spans="1:21">
      <c r="A726" s="4" t="s">
        <v>37</v>
      </c>
      <c r="B726" s="3">
        <v>1016</v>
      </c>
      <c r="C726" s="3">
        <v>5657</v>
      </c>
      <c r="D726" s="3">
        <v>1</v>
      </c>
      <c r="E726" s="4" t="s">
        <v>33</v>
      </c>
      <c r="F726" s="4" t="s">
        <v>64</v>
      </c>
      <c r="G726" s="4" t="s">
        <v>65</v>
      </c>
      <c r="H726" s="4" t="s">
        <v>40</v>
      </c>
      <c r="I726" s="4" t="s">
        <v>156</v>
      </c>
      <c r="J726" s="3">
        <v>1</v>
      </c>
      <c r="K726" s="3">
        <v>25</v>
      </c>
      <c r="L726" s="3">
        <v>7</v>
      </c>
      <c r="M726" s="3">
        <v>4</v>
      </c>
      <c r="N726" s="3">
        <v>4</v>
      </c>
      <c r="O726" s="3">
        <v>10</v>
      </c>
      <c r="P726" s="3">
        <f t="shared" si="0"/>
        <v>0</v>
      </c>
      <c r="Q726" s="3">
        <f t="shared" si="1"/>
        <v>33.3333333333333</v>
      </c>
      <c r="R726" s="3">
        <f t="shared" si="2"/>
        <v>47.6190476190476</v>
      </c>
      <c r="S726" s="11">
        <f>AVERAGE(Q726:Q729)</f>
        <v>40.4242424242424</v>
      </c>
      <c r="T726" s="7">
        <f>AVERAGE(R726:R729)</f>
        <v>40.1320346320346</v>
      </c>
      <c r="U726" s="8">
        <f>(L726+L727+L728+L729+O726+O727+O728+O729)/(K726+K727+K728+K729)*100</f>
        <v>75</v>
      </c>
    </row>
    <row r="727" ht="13.5" customHeight="1" spans="1:19">
      <c r="A727" s="4" t="s">
        <v>37</v>
      </c>
      <c r="B727" s="3">
        <v>1016</v>
      </c>
      <c r="C727" s="3">
        <v>5657</v>
      </c>
      <c r="D727" s="3">
        <v>1</v>
      </c>
      <c r="E727" s="4" t="s">
        <v>33</v>
      </c>
      <c r="F727" s="4" t="s">
        <v>64</v>
      </c>
      <c r="G727" s="4" t="s">
        <v>65</v>
      </c>
      <c r="H727" s="4" t="s">
        <v>40</v>
      </c>
      <c r="I727" s="4" t="s">
        <v>156</v>
      </c>
      <c r="J727" s="3">
        <v>2</v>
      </c>
      <c r="K727" s="3">
        <v>25</v>
      </c>
      <c r="L727" s="3">
        <v>13</v>
      </c>
      <c r="M727" s="3">
        <v>3</v>
      </c>
      <c r="N727" s="3">
        <v>0</v>
      </c>
      <c r="O727" s="3">
        <v>9</v>
      </c>
      <c r="P727" s="3">
        <f t="shared" si="0"/>
        <v>0</v>
      </c>
      <c r="Q727" s="3">
        <f t="shared" si="1"/>
        <v>52</v>
      </c>
      <c r="R727" s="3">
        <f t="shared" si="2"/>
        <v>36</v>
      </c>
      <c r="S727" s="11"/>
    </row>
    <row r="728" ht="13.5" customHeight="1" spans="1:19">
      <c r="A728" s="4" t="s">
        <v>37</v>
      </c>
      <c r="B728" s="3">
        <v>1016</v>
      </c>
      <c r="C728" s="3">
        <v>5657</v>
      </c>
      <c r="D728" s="3">
        <v>1</v>
      </c>
      <c r="E728" s="4" t="s">
        <v>33</v>
      </c>
      <c r="F728" s="4" t="s">
        <v>64</v>
      </c>
      <c r="G728" s="4" t="s">
        <v>65</v>
      </c>
      <c r="H728" s="4" t="s">
        <v>40</v>
      </c>
      <c r="I728" s="4" t="s">
        <v>156</v>
      </c>
      <c r="J728" s="3">
        <v>3</v>
      </c>
      <c r="K728" s="3">
        <v>25</v>
      </c>
      <c r="L728" s="3">
        <v>10</v>
      </c>
      <c r="M728" s="3">
        <v>6</v>
      </c>
      <c r="N728" s="3">
        <v>0</v>
      </c>
      <c r="O728" s="3">
        <v>9</v>
      </c>
      <c r="P728" s="3">
        <f t="shared" si="0"/>
        <v>0</v>
      </c>
      <c r="Q728" s="3">
        <f t="shared" si="1"/>
        <v>40</v>
      </c>
      <c r="R728" s="3">
        <f t="shared" si="2"/>
        <v>36</v>
      </c>
      <c r="S728" s="11"/>
    </row>
    <row r="729" ht="13.5" customHeight="1" spans="1:19">
      <c r="A729" s="4" t="s">
        <v>37</v>
      </c>
      <c r="B729" s="3">
        <v>1016</v>
      </c>
      <c r="C729" s="3">
        <v>5657</v>
      </c>
      <c r="D729" s="3">
        <v>1</v>
      </c>
      <c r="E729" s="4" t="s">
        <v>33</v>
      </c>
      <c r="F729" s="4" t="s">
        <v>64</v>
      </c>
      <c r="G729" s="4" t="s">
        <v>65</v>
      </c>
      <c r="H729" s="4" t="s">
        <v>40</v>
      </c>
      <c r="I729" s="4" t="s">
        <v>156</v>
      </c>
      <c r="J729" s="3">
        <v>4</v>
      </c>
      <c r="K729" s="3">
        <v>25</v>
      </c>
      <c r="L729" s="3">
        <v>8</v>
      </c>
      <c r="M729" s="3">
        <v>5</v>
      </c>
      <c r="N729" s="3">
        <v>3</v>
      </c>
      <c r="O729" s="3">
        <v>9</v>
      </c>
      <c r="P729" s="3">
        <f t="shared" si="0"/>
        <v>0</v>
      </c>
      <c r="Q729" s="3">
        <f t="shared" si="1"/>
        <v>36.3636363636364</v>
      </c>
      <c r="R729" s="3">
        <f t="shared" si="2"/>
        <v>40.9090909090909</v>
      </c>
      <c r="S729" s="11"/>
    </row>
    <row r="730" ht="13.5" customHeight="1" spans="1:21">
      <c r="A730" s="4" t="s">
        <v>63</v>
      </c>
      <c r="B730" s="3">
        <v>1020</v>
      </c>
      <c r="C730" s="3">
        <v>5331</v>
      </c>
      <c r="D730" s="3">
        <v>2</v>
      </c>
      <c r="E730" s="4" t="s">
        <v>33</v>
      </c>
      <c r="F730" s="4" t="s">
        <v>64</v>
      </c>
      <c r="G730" s="4" t="s">
        <v>65</v>
      </c>
      <c r="H730" s="4" t="s">
        <v>40</v>
      </c>
      <c r="I730" s="4" t="s">
        <v>156</v>
      </c>
      <c r="J730" s="3">
        <v>1</v>
      </c>
      <c r="K730" s="3">
        <v>25</v>
      </c>
      <c r="L730" s="3">
        <v>16</v>
      </c>
      <c r="M730" s="3">
        <v>1</v>
      </c>
      <c r="N730" s="3">
        <v>2</v>
      </c>
      <c r="O730" s="3">
        <v>6</v>
      </c>
      <c r="P730" s="3">
        <f t="shared" si="0"/>
        <v>0</v>
      </c>
      <c r="Q730" s="3">
        <f t="shared" si="1"/>
        <v>69.5652173913043</v>
      </c>
      <c r="R730" s="3">
        <f t="shared" si="2"/>
        <v>26.0869565217391</v>
      </c>
      <c r="S730" s="11">
        <f>AVERAGE(Q730:Q733)</f>
        <v>65.7436162870945</v>
      </c>
      <c r="T730" s="7">
        <f>AVERAGE(R730:R733)</f>
        <v>30.3916494133886</v>
      </c>
      <c r="U730" s="8">
        <f>(L730+L731+L732+L733+O730+O731+O732+O733)/(K730+K731+K732+K733)*100</f>
        <v>82.8282828282828</v>
      </c>
    </row>
    <row r="731" ht="13.5" customHeight="1" spans="1:19">
      <c r="A731" s="4" t="s">
        <v>63</v>
      </c>
      <c r="B731" s="3">
        <v>1020</v>
      </c>
      <c r="C731" s="3">
        <v>5331</v>
      </c>
      <c r="D731" s="3">
        <v>2</v>
      </c>
      <c r="E731" s="4" t="s">
        <v>33</v>
      </c>
      <c r="F731" s="4" t="s">
        <v>64</v>
      </c>
      <c r="G731" s="4" t="s">
        <v>65</v>
      </c>
      <c r="H731" s="4" t="s">
        <v>40</v>
      </c>
      <c r="I731" s="4" t="s">
        <v>156</v>
      </c>
      <c r="J731" s="3">
        <v>2</v>
      </c>
      <c r="K731" s="3">
        <v>25</v>
      </c>
      <c r="L731" s="3">
        <v>15</v>
      </c>
      <c r="M731" s="3">
        <v>0</v>
      </c>
      <c r="N731" s="3">
        <v>4</v>
      </c>
      <c r="O731" s="3">
        <v>6</v>
      </c>
      <c r="P731" s="3">
        <f t="shared" si="0"/>
        <v>0</v>
      </c>
      <c r="Q731" s="3">
        <f t="shared" si="1"/>
        <v>71.4285714285714</v>
      </c>
      <c r="R731" s="3">
        <f t="shared" si="2"/>
        <v>28.5714285714286</v>
      </c>
      <c r="S731" s="11"/>
    </row>
    <row r="732" ht="13.5" customHeight="1" spans="1:19">
      <c r="A732" s="4" t="s">
        <v>63</v>
      </c>
      <c r="B732" s="3">
        <v>1020</v>
      </c>
      <c r="C732" s="3">
        <v>5331</v>
      </c>
      <c r="D732" s="3">
        <v>2</v>
      </c>
      <c r="E732" s="4" t="s">
        <v>33</v>
      </c>
      <c r="F732" s="4" t="s">
        <v>64</v>
      </c>
      <c r="G732" s="4" t="s">
        <v>65</v>
      </c>
      <c r="H732" s="4" t="s">
        <v>40</v>
      </c>
      <c r="I732" s="4" t="s">
        <v>156</v>
      </c>
      <c r="J732" s="3">
        <v>3</v>
      </c>
      <c r="K732" s="3">
        <v>24</v>
      </c>
      <c r="L732" s="3">
        <v>11</v>
      </c>
      <c r="M732" s="3">
        <v>2</v>
      </c>
      <c r="N732" s="3">
        <v>6</v>
      </c>
      <c r="O732" s="3">
        <v>5</v>
      </c>
      <c r="P732" s="3">
        <f t="shared" si="0"/>
        <v>0</v>
      </c>
      <c r="Q732" s="3">
        <f t="shared" si="1"/>
        <v>61.1111111111111</v>
      </c>
      <c r="R732" s="3">
        <f t="shared" si="2"/>
        <v>27.7777777777778</v>
      </c>
      <c r="S732" s="11"/>
    </row>
    <row r="733" ht="13.5" customHeight="1" spans="1:19">
      <c r="A733" s="4" t="s">
        <v>63</v>
      </c>
      <c r="B733" s="3">
        <v>1020</v>
      </c>
      <c r="C733" s="3">
        <v>5331</v>
      </c>
      <c r="D733" s="3">
        <v>2</v>
      </c>
      <c r="E733" s="4" t="s">
        <v>33</v>
      </c>
      <c r="F733" s="4" t="s">
        <v>64</v>
      </c>
      <c r="G733" s="4" t="s">
        <v>65</v>
      </c>
      <c r="H733" s="4" t="s">
        <v>40</v>
      </c>
      <c r="I733" s="4" t="s">
        <v>156</v>
      </c>
      <c r="J733" s="3">
        <v>4</v>
      </c>
      <c r="K733" s="3">
        <v>25</v>
      </c>
      <c r="L733" s="3">
        <v>14</v>
      </c>
      <c r="M733" s="3">
        <v>0</v>
      </c>
      <c r="N733" s="3">
        <v>2</v>
      </c>
      <c r="O733" s="3">
        <v>9</v>
      </c>
      <c r="P733" s="3">
        <f t="shared" si="0"/>
        <v>0</v>
      </c>
      <c r="Q733" s="3">
        <f t="shared" si="1"/>
        <v>60.8695652173913</v>
      </c>
      <c r="R733" s="3">
        <f t="shared" si="2"/>
        <v>39.1304347826087</v>
      </c>
      <c r="S733" s="11"/>
    </row>
    <row r="734" ht="13.5" customHeight="1" spans="1:21">
      <c r="A734" s="4" t="s">
        <v>117</v>
      </c>
      <c r="B734" s="3">
        <v>1001</v>
      </c>
      <c r="C734" s="3">
        <v>4887</v>
      </c>
      <c r="D734" s="3">
        <v>1</v>
      </c>
      <c r="E734" s="3" t="s">
        <v>33</v>
      </c>
      <c r="F734" s="4" t="s">
        <v>64</v>
      </c>
      <c r="G734" s="4" t="s">
        <v>133</v>
      </c>
      <c r="H734" s="4" t="s">
        <v>134</v>
      </c>
      <c r="I734" s="4" t="s">
        <v>156</v>
      </c>
      <c r="J734" s="3">
        <v>1</v>
      </c>
      <c r="K734" s="3">
        <v>25</v>
      </c>
      <c r="L734" s="3">
        <v>11</v>
      </c>
      <c r="M734" s="3">
        <v>5</v>
      </c>
      <c r="N734" s="3">
        <v>2</v>
      </c>
      <c r="O734" s="3">
        <v>7</v>
      </c>
      <c r="P734" s="3">
        <f t="shared" si="0"/>
        <v>0</v>
      </c>
      <c r="Q734" s="3">
        <f t="shared" si="1"/>
        <v>47.8260869565217</v>
      </c>
      <c r="R734" s="3">
        <f t="shared" si="2"/>
        <v>30.4347826086957</v>
      </c>
      <c r="S734" s="11">
        <f>AVERAGE(Q734:Q737)</f>
        <v>39.8260869565217</v>
      </c>
      <c r="T734" s="7">
        <f>AVERAGE(R734:R737)</f>
        <v>25.0434782608696</v>
      </c>
      <c r="U734" s="8">
        <f>(L734+L735+L736+L737+O734+O735+O736+O737)/(K734+K735+K736+K737)*100</f>
        <v>62</v>
      </c>
    </row>
    <row r="735" ht="13.5" customHeight="1" spans="1:19">
      <c r="A735" s="4" t="s">
        <v>117</v>
      </c>
      <c r="B735" s="3">
        <v>1001</v>
      </c>
      <c r="C735" s="3">
        <v>4887</v>
      </c>
      <c r="D735" s="3">
        <v>1</v>
      </c>
      <c r="E735" s="3" t="s">
        <v>33</v>
      </c>
      <c r="F735" s="4" t="s">
        <v>64</v>
      </c>
      <c r="G735" s="4" t="s">
        <v>133</v>
      </c>
      <c r="H735" s="4" t="s">
        <v>134</v>
      </c>
      <c r="I735" s="4" t="s">
        <v>156</v>
      </c>
      <c r="J735" s="3">
        <v>2</v>
      </c>
      <c r="K735" s="3">
        <v>25</v>
      </c>
      <c r="L735" s="3">
        <v>11</v>
      </c>
      <c r="M735" s="3">
        <v>12</v>
      </c>
      <c r="N735" s="3">
        <v>0</v>
      </c>
      <c r="O735" s="3">
        <v>2</v>
      </c>
      <c r="P735" s="3">
        <f t="shared" si="0"/>
        <v>0</v>
      </c>
      <c r="Q735" s="3">
        <f t="shared" si="1"/>
        <v>44</v>
      </c>
      <c r="R735" s="3">
        <f t="shared" si="2"/>
        <v>8</v>
      </c>
      <c r="S735" s="11"/>
    </row>
    <row r="736" ht="13.5" customHeight="1" spans="1:19">
      <c r="A736" s="4" t="s">
        <v>117</v>
      </c>
      <c r="B736" s="3">
        <v>1001</v>
      </c>
      <c r="C736" s="3">
        <v>4887</v>
      </c>
      <c r="D736" s="3">
        <v>1</v>
      </c>
      <c r="E736" s="3" t="s">
        <v>33</v>
      </c>
      <c r="F736" s="4" t="s">
        <v>64</v>
      </c>
      <c r="G736" s="4" t="s">
        <v>133</v>
      </c>
      <c r="H736" s="4" t="s">
        <v>134</v>
      </c>
      <c r="I736" s="4" t="s">
        <v>156</v>
      </c>
      <c r="J736" s="3">
        <v>3</v>
      </c>
      <c r="K736" s="3">
        <v>25</v>
      </c>
      <c r="L736" s="3">
        <v>6</v>
      </c>
      <c r="M736" s="3">
        <v>9</v>
      </c>
      <c r="N736" s="3">
        <v>0</v>
      </c>
      <c r="O736" s="3">
        <v>10</v>
      </c>
      <c r="P736" s="3">
        <f t="shared" si="0"/>
        <v>0</v>
      </c>
      <c r="Q736" s="3">
        <f t="shared" si="1"/>
        <v>24</v>
      </c>
      <c r="R736" s="3">
        <f t="shared" si="2"/>
        <v>40</v>
      </c>
      <c r="S736" s="11"/>
    </row>
    <row r="737" ht="13.5" customHeight="1" spans="1:19">
      <c r="A737" s="4" t="s">
        <v>117</v>
      </c>
      <c r="B737" s="3">
        <v>1001</v>
      </c>
      <c r="C737" s="3">
        <v>4887</v>
      </c>
      <c r="D737" s="3">
        <v>1</v>
      </c>
      <c r="E737" s="3" t="s">
        <v>33</v>
      </c>
      <c r="F737" s="4" t="s">
        <v>64</v>
      </c>
      <c r="G737" s="4" t="s">
        <v>133</v>
      </c>
      <c r="H737" s="4" t="s">
        <v>134</v>
      </c>
      <c r="I737" s="4" t="s">
        <v>156</v>
      </c>
      <c r="J737" s="3">
        <v>4</v>
      </c>
      <c r="K737" s="3">
        <v>25</v>
      </c>
      <c r="L737" s="3">
        <v>10</v>
      </c>
      <c r="M737" s="3">
        <v>8</v>
      </c>
      <c r="N737" s="3">
        <v>2</v>
      </c>
      <c r="O737" s="3">
        <v>5</v>
      </c>
      <c r="P737" s="3">
        <f t="shared" si="0"/>
        <v>0</v>
      </c>
      <c r="Q737" s="3">
        <f t="shared" si="1"/>
        <v>43.4782608695652</v>
      </c>
      <c r="R737" s="3">
        <f t="shared" si="2"/>
        <v>21.7391304347826</v>
      </c>
      <c r="S737" s="11"/>
    </row>
    <row r="738" ht="13.5" customHeight="1" spans="1:21">
      <c r="A738" s="4" t="s">
        <v>27</v>
      </c>
      <c r="B738" s="3">
        <v>1204</v>
      </c>
      <c r="C738" s="3">
        <v>7100</v>
      </c>
      <c r="D738" s="3">
        <v>0.1</v>
      </c>
      <c r="E738" s="4" t="s">
        <v>22</v>
      </c>
      <c r="F738" s="4" t="s">
        <v>112</v>
      </c>
      <c r="G738" s="3" t="s">
        <v>113</v>
      </c>
      <c r="H738" s="4" t="s">
        <v>25</v>
      </c>
      <c r="I738" s="4" t="s">
        <v>156</v>
      </c>
      <c r="J738" s="3">
        <v>1</v>
      </c>
      <c r="K738" s="3">
        <v>25</v>
      </c>
      <c r="L738" s="3">
        <v>13</v>
      </c>
      <c r="M738" s="3">
        <v>7</v>
      </c>
      <c r="N738" s="3">
        <v>5</v>
      </c>
      <c r="O738" s="3">
        <v>0</v>
      </c>
      <c r="P738" s="3">
        <f t="shared" si="0"/>
        <v>0</v>
      </c>
      <c r="Q738" s="3">
        <f t="shared" si="1"/>
        <v>65</v>
      </c>
      <c r="R738" s="3">
        <f t="shared" si="2"/>
        <v>0</v>
      </c>
      <c r="S738" s="11">
        <f>AVERAGE(Q738:Q741)</f>
        <v>58.0227272727273</v>
      </c>
      <c r="T738" s="7">
        <f>AVERAGE(R738:R741)</f>
        <v>0</v>
      </c>
      <c r="U738" s="8">
        <f>(L738+L739+L740+L741+O738+O739+O740+O741)/(K738+K739+K740+K741)*100</f>
        <v>53</v>
      </c>
    </row>
    <row r="739" ht="13.5" customHeight="1" spans="1:19">
      <c r="A739" s="4" t="s">
        <v>27</v>
      </c>
      <c r="B739" s="3">
        <v>1204</v>
      </c>
      <c r="C739" s="3">
        <v>7100</v>
      </c>
      <c r="D739" s="3">
        <v>0.1</v>
      </c>
      <c r="E739" s="4" t="s">
        <v>22</v>
      </c>
      <c r="F739" s="4" t="s">
        <v>112</v>
      </c>
      <c r="G739" s="3" t="s">
        <v>113</v>
      </c>
      <c r="H739" s="4" t="s">
        <v>25</v>
      </c>
      <c r="I739" s="4" t="s">
        <v>156</v>
      </c>
      <c r="J739" s="3">
        <v>2</v>
      </c>
      <c r="K739" s="3">
        <v>25</v>
      </c>
      <c r="L739" s="3">
        <v>13</v>
      </c>
      <c r="M739" s="3">
        <v>9</v>
      </c>
      <c r="N739" s="3">
        <v>3</v>
      </c>
      <c r="O739" s="3">
        <v>0</v>
      </c>
      <c r="P739" s="3">
        <f t="shared" si="0"/>
        <v>0</v>
      </c>
      <c r="Q739" s="3">
        <f t="shared" si="1"/>
        <v>59.0909090909091</v>
      </c>
      <c r="R739" s="3">
        <f t="shared" si="2"/>
        <v>0</v>
      </c>
      <c r="S739" s="11"/>
    </row>
    <row r="740" ht="13.5" customHeight="1" spans="1:19">
      <c r="A740" s="4" t="s">
        <v>27</v>
      </c>
      <c r="B740" s="3">
        <v>1204</v>
      </c>
      <c r="C740" s="3">
        <v>7100</v>
      </c>
      <c r="D740" s="3">
        <v>0.1</v>
      </c>
      <c r="E740" s="4" t="s">
        <v>22</v>
      </c>
      <c r="F740" s="4" t="s">
        <v>112</v>
      </c>
      <c r="G740" s="3" t="s">
        <v>113</v>
      </c>
      <c r="H740" s="4" t="s">
        <v>25</v>
      </c>
      <c r="I740" s="4" t="s">
        <v>156</v>
      </c>
      <c r="J740" s="3">
        <v>3</v>
      </c>
      <c r="K740" s="3">
        <v>25</v>
      </c>
      <c r="L740" s="3">
        <v>12</v>
      </c>
      <c r="M740" s="3">
        <v>13</v>
      </c>
      <c r="N740" s="3">
        <v>0</v>
      </c>
      <c r="O740" s="3">
        <v>0</v>
      </c>
      <c r="P740" s="3">
        <f t="shared" si="0"/>
        <v>0</v>
      </c>
      <c r="Q740" s="3">
        <f t="shared" si="1"/>
        <v>48</v>
      </c>
      <c r="R740" s="3">
        <f t="shared" si="2"/>
        <v>0</v>
      </c>
      <c r="S740" s="11"/>
    </row>
    <row r="741" ht="13.5" customHeight="1" spans="1:19">
      <c r="A741" s="4" t="s">
        <v>27</v>
      </c>
      <c r="B741" s="3">
        <v>1204</v>
      </c>
      <c r="C741" s="3">
        <v>7100</v>
      </c>
      <c r="D741" s="3">
        <v>0.1</v>
      </c>
      <c r="E741" s="4" t="s">
        <v>22</v>
      </c>
      <c r="F741" s="4" t="s">
        <v>112</v>
      </c>
      <c r="G741" s="3" t="s">
        <v>113</v>
      </c>
      <c r="H741" s="4" t="s">
        <v>25</v>
      </c>
      <c r="I741" s="4" t="s">
        <v>156</v>
      </c>
      <c r="J741" s="3">
        <v>4</v>
      </c>
      <c r="K741" s="3">
        <v>25</v>
      </c>
      <c r="L741" s="3">
        <v>15</v>
      </c>
      <c r="M741" s="3">
        <v>10</v>
      </c>
      <c r="N741" s="3">
        <v>0</v>
      </c>
      <c r="O741" s="3">
        <v>0</v>
      </c>
      <c r="P741" s="3">
        <f t="shared" si="0"/>
        <v>0</v>
      </c>
      <c r="Q741" s="3">
        <f t="shared" si="1"/>
        <v>60</v>
      </c>
      <c r="R741" s="3">
        <f t="shared" si="2"/>
        <v>0</v>
      </c>
      <c r="S741" s="11"/>
    </row>
    <row r="742" ht="13.5" customHeight="1" spans="1:21">
      <c r="A742" s="4" t="s">
        <v>86</v>
      </c>
      <c r="B742" s="3">
        <v>1097</v>
      </c>
      <c r="C742" s="3">
        <v>6679</v>
      </c>
      <c r="D742" s="3">
        <v>0.1</v>
      </c>
      <c r="E742" s="4" t="s">
        <v>48</v>
      </c>
      <c r="F742" s="4" t="s">
        <v>139</v>
      </c>
      <c r="G742" s="3" t="s">
        <v>140</v>
      </c>
      <c r="H742" s="4" t="s">
        <v>25</v>
      </c>
      <c r="I742" s="4" t="s">
        <v>156</v>
      </c>
      <c r="J742" s="3">
        <v>1</v>
      </c>
      <c r="K742" s="3">
        <v>25</v>
      </c>
      <c r="L742" s="3">
        <v>0</v>
      </c>
      <c r="M742" s="3">
        <v>2</v>
      </c>
      <c r="N742" s="3">
        <v>23</v>
      </c>
      <c r="O742" s="3">
        <v>0</v>
      </c>
      <c r="P742" s="3">
        <f t="shared" si="0"/>
        <v>0</v>
      </c>
      <c r="Q742" s="3">
        <f t="shared" si="1"/>
        <v>0</v>
      </c>
      <c r="R742" s="3">
        <f t="shared" si="2"/>
        <v>0</v>
      </c>
      <c r="S742" s="11">
        <f>AVERAGE(Q742:Q745)</f>
        <v>10</v>
      </c>
      <c r="T742" s="7">
        <f>AVERAGE(R742:R745)</f>
        <v>0</v>
      </c>
      <c r="U742" s="8">
        <f>(L742+L743+L744+L745+O742+O743+O744+O745)/(K742+K743+K744+K745)*100</f>
        <v>2</v>
      </c>
    </row>
    <row r="743" ht="13.5" customHeight="1" spans="1:19">
      <c r="A743" s="4" t="s">
        <v>86</v>
      </c>
      <c r="B743" s="3">
        <v>1097</v>
      </c>
      <c r="C743" s="3">
        <v>6679</v>
      </c>
      <c r="D743" s="3">
        <v>0.1</v>
      </c>
      <c r="E743" s="4" t="s">
        <v>48</v>
      </c>
      <c r="F743" s="4" t="s">
        <v>139</v>
      </c>
      <c r="G743" s="3" t="s">
        <v>140</v>
      </c>
      <c r="H743" s="4" t="s">
        <v>25</v>
      </c>
      <c r="I743" s="4" t="s">
        <v>156</v>
      </c>
      <c r="J743" s="3">
        <v>2</v>
      </c>
      <c r="K743" s="3">
        <v>25</v>
      </c>
      <c r="L743" s="3">
        <v>1</v>
      </c>
      <c r="M743" s="3">
        <v>4</v>
      </c>
      <c r="N743" s="3">
        <v>20</v>
      </c>
      <c r="O743" s="3">
        <v>0</v>
      </c>
      <c r="P743" s="3">
        <f t="shared" si="0"/>
        <v>0</v>
      </c>
      <c r="Q743" s="3">
        <f t="shared" si="1"/>
        <v>20</v>
      </c>
      <c r="R743" s="3">
        <f t="shared" si="2"/>
        <v>0</v>
      </c>
      <c r="S743" s="11"/>
    </row>
    <row r="744" ht="13.5" customHeight="1" spans="1:19">
      <c r="A744" s="4" t="s">
        <v>86</v>
      </c>
      <c r="B744" s="3">
        <v>1097</v>
      </c>
      <c r="C744" s="3">
        <v>6679</v>
      </c>
      <c r="D744" s="3">
        <v>0.1</v>
      </c>
      <c r="E744" s="4" t="s">
        <v>48</v>
      </c>
      <c r="F744" s="4" t="s">
        <v>139</v>
      </c>
      <c r="G744" s="3" t="s">
        <v>140</v>
      </c>
      <c r="H744" s="4" t="s">
        <v>25</v>
      </c>
      <c r="I744" s="4" t="s">
        <v>156</v>
      </c>
      <c r="J744" s="3">
        <v>3</v>
      </c>
      <c r="K744" s="3">
        <v>25</v>
      </c>
      <c r="L744" s="3">
        <v>0</v>
      </c>
      <c r="M744" s="3">
        <v>5</v>
      </c>
      <c r="N744" s="3">
        <v>20</v>
      </c>
      <c r="O744" s="3">
        <v>0</v>
      </c>
      <c r="P744" s="3">
        <f t="shared" si="0"/>
        <v>0</v>
      </c>
      <c r="Q744" s="3">
        <f t="shared" si="1"/>
        <v>0</v>
      </c>
      <c r="R744" s="3">
        <f t="shared" si="2"/>
        <v>0</v>
      </c>
      <c r="S744" s="11"/>
    </row>
    <row r="745" ht="13.5" customHeight="1" spans="1:19">
      <c r="A745" s="4" t="s">
        <v>86</v>
      </c>
      <c r="B745" s="3">
        <v>1097</v>
      </c>
      <c r="C745" s="3">
        <v>6679</v>
      </c>
      <c r="D745" s="3">
        <v>0.1</v>
      </c>
      <c r="E745" s="4" t="s">
        <v>48</v>
      </c>
      <c r="F745" s="4" t="s">
        <v>139</v>
      </c>
      <c r="G745" s="3" t="s">
        <v>140</v>
      </c>
      <c r="H745" s="4" t="s">
        <v>25</v>
      </c>
      <c r="I745" s="4" t="s">
        <v>156</v>
      </c>
      <c r="J745" s="3">
        <v>4</v>
      </c>
      <c r="K745" s="3">
        <v>25</v>
      </c>
      <c r="L745" s="3">
        <v>1</v>
      </c>
      <c r="M745" s="3">
        <v>4</v>
      </c>
      <c r="N745" s="3">
        <v>20</v>
      </c>
      <c r="O745" s="3">
        <v>0</v>
      </c>
      <c r="P745" s="3">
        <f t="shared" si="0"/>
        <v>0</v>
      </c>
      <c r="Q745" s="3">
        <f t="shared" si="1"/>
        <v>20</v>
      </c>
      <c r="R745" s="3">
        <f t="shared" si="2"/>
        <v>0</v>
      </c>
      <c r="S745" s="11"/>
    </row>
    <row r="746" ht="13.5" customHeight="1" spans="1:21">
      <c r="A746" s="4" t="s">
        <v>60</v>
      </c>
      <c r="B746" s="3">
        <v>1330</v>
      </c>
      <c r="C746" s="3">
        <v>9133</v>
      </c>
      <c r="D746" s="3">
        <v>0.1</v>
      </c>
      <c r="E746" s="4" t="s">
        <v>48</v>
      </c>
      <c r="F746" s="4" t="s">
        <v>167</v>
      </c>
      <c r="G746" s="4" t="s">
        <v>109</v>
      </c>
      <c r="H746" s="4" t="s">
        <v>25</v>
      </c>
      <c r="I746" s="4" t="s">
        <v>156</v>
      </c>
      <c r="J746" s="3">
        <v>1</v>
      </c>
      <c r="K746" s="3">
        <v>25</v>
      </c>
      <c r="L746" s="3">
        <v>20</v>
      </c>
      <c r="M746" s="3">
        <v>1</v>
      </c>
      <c r="N746" s="3">
        <v>4</v>
      </c>
      <c r="O746" s="3">
        <v>0</v>
      </c>
      <c r="P746" s="3">
        <f t="shared" si="0"/>
        <v>0</v>
      </c>
      <c r="Q746" s="3">
        <f t="shared" si="1"/>
        <v>95.2380952380952</v>
      </c>
      <c r="R746" s="3">
        <f t="shared" si="2"/>
        <v>0</v>
      </c>
      <c r="S746" s="11">
        <f>AVERAGE(Q746:Q749)</f>
        <v>90.5486542443064</v>
      </c>
      <c r="T746" s="7">
        <f>AVERAGE(R746:R749)</f>
        <v>0</v>
      </c>
      <c r="U746" s="8">
        <f>(L746+L747+L748+L749+O746+O747+O748+O749)/(K746+K747+K748+K749)*100</f>
        <v>85</v>
      </c>
    </row>
    <row r="747" ht="13.5" customHeight="1" spans="1:19">
      <c r="A747" s="4" t="s">
        <v>60</v>
      </c>
      <c r="B747" s="3">
        <v>1330</v>
      </c>
      <c r="C747" s="3">
        <v>9133</v>
      </c>
      <c r="D747" s="3">
        <v>0.1</v>
      </c>
      <c r="E747" s="4" t="s">
        <v>48</v>
      </c>
      <c r="F747" s="4" t="s">
        <v>167</v>
      </c>
      <c r="G747" s="4" t="s">
        <v>109</v>
      </c>
      <c r="H747" s="4" t="s">
        <v>25</v>
      </c>
      <c r="I747" s="4" t="s">
        <v>156</v>
      </c>
      <c r="J747" s="3">
        <v>2</v>
      </c>
      <c r="K747" s="3">
        <v>25</v>
      </c>
      <c r="L747" s="3">
        <v>20</v>
      </c>
      <c r="M747" s="3">
        <v>3</v>
      </c>
      <c r="N747" s="3">
        <v>2</v>
      </c>
      <c r="O747" s="3">
        <v>0</v>
      </c>
      <c r="P747" s="3">
        <f t="shared" si="0"/>
        <v>0</v>
      </c>
      <c r="Q747" s="3">
        <f t="shared" si="1"/>
        <v>86.9565217391304</v>
      </c>
      <c r="R747" s="3">
        <f t="shared" si="2"/>
        <v>0</v>
      </c>
      <c r="S747" s="11"/>
    </row>
    <row r="748" ht="13.5" customHeight="1" spans="1:19">
      <c r="A748" s="4" t="s">
        <v>60</v>
      </c>
      <c r="B748" s="3">
        <v>1330</v>
      </c>
      <c r="C748" s="3">
        <v>9133</v>
      </c>
      <c r="D748" s="3">
        <v>0.1</v>
      </c>
      <c r="E748" s="4" t="s">
        <v>48</v>
      </c>
      <c r="F748" s="4" t="s">
        <v>167</v>
      </c>
      <c r="G748" s="4" t="s">
        <v>109</v>
      </c>
      <c r="H748" s="4" t="s">
        <v>25</v>
      </c>
      <c r="I748" s="4" t="s">
        <v>156</v>
      </c>
      <c r="J748" s="3">
        <v>3</v>
      </c>
      <c r="K748" s="3">
        <v>25</v>
      </c>
      <c r="L748" s="3">
        <v>23</v>
      </c>
      <c r="M748" s="3">
        <v>2</v>
      </c>
      <c r="N748" s="3">
        <v>0</v>
      </c>
      <c r="O748" s="3">
        <v>0</v>
      </c>
      <c r="P748" s="3">
        <f t="shared" si="0"/>
        <v>0</v>
      </c>
      <c r="Q748" s="3">
        <f t="shared" si="1"/>
        <v>92</v>
      </c>
      <c r="R748" s="3">
        <f t="shared" si="2"/>
        <v>0</v>
      </c>
      <c r="S748" s="11"/>
    </row>
    <row r="749" ht="13.5" customHeight="1" spans="1:19">
      <c r="A749" s="4" t="s">
        <v>60</v>
      </c>
      <c r="B749" s="3">
        <v>1330</v>
      </c>
      <c r="C749" s="3">
        <v>9133</v>
      </c>
      <c r="D749" s="3">
        <v>0.1</v>
      </c>
      <c r="E749" s="4" t="s">
        <v>48</v>
      </c>
      <c r="F749" s="4" t="s">
        <v>167</v>
      </c>
      <c r="G749" s="4" t="s">
        <v>109</v>
      </c>
      <c r="H749" s="4" t="s">
        <v>25</v>
      </c>
      <c r="I749" s="4" t="s">
        <v>156</v>
      </c>
      <c r="J749" s="3">
        <v>4</v>
      </c>
      <c r="K749" s="3">
        <v>25</v>
      </c>
      <c r="L749" s="3">
        <v>22</v>
      </c>
      <c r="M749" s="3">
        <v>3</v>
      </c>
      <c r="N749" s="3">
        <v>0</v>
      </c>
      <c r="O749" s="3">
        <v>0</v>
      </c>
      <c r="P749" s="3">
        <f t="shared" si="0"/>
        <v>0</v>
      </c>
      <c r="Q749" s="3">
        <f t="shared" si="1"/>
        <v>88</v>
      </c>
      <c r="R749" s="3">
        <f t="shared" si="2"/>
        <v>0</v>
      </c>
      <c r="S749" s="11"/>
    </row>
    <row r="750" ht="13.5" customHeight="1" spans="1:21">
      <c r="A750" s="4" t="s">
        <v>66</v>
      </c>
      <c r="B750" s="3">
        <v>1153</v>
      </c>
      <c r="C750" s="3">
        <v>7684</v>
      </c>
      <c r="D750" s="3">
        <v>0.1</v>
      </c>
      <c r="E750" s="4" t="s">
        <v>52</v>
      </c>
      <c r="F750" s="4" t="s">
        <v>53</v>
      </c>
      <c r="G750" s="4" t="s">
        <v>54</v>
      </c>
      <c r="H750" s="4" t="s">
        <v>40</v>
      </c>
      <c r="I750" s="4" t="s">
        <v>156</v>
      </c>
      <c r="J750" s="3">
        <v>1</v>
      </c>
      <c r="K750" s="3">
        <v>25</v>
      </c>
      <c r="L750" s="3">
        <v>22</v>
      </c>
      <c r="M750" s="3">
        <v>0</v>
      </c>
      <c r="N750" s="3">
        <v>2</v>
      </c>
      <c r="O750" s="3">
        <v>1</v>
      </c>
      <c r="P750" s="3">
        <f t="shared" si="0"/>
        <v>0</v>
      </c>
      <c r="Q750" s="3">
        <f t="shared" si="1"/>
        <v>95.6521739130435</v>
      </c>
      <c r="R750" s="3">
        <f t="shared" si="2"/>
        <v>4.34782608695652</v>
      </c>
      <c r="S750" s="11">
        <f>AVERAGE(Q750:Q753)</f>
        <v>93.0102657004831</v>
      </c>
      <c r="T750" s="7">
        <f>AVERAGE(R750:R753)</f>
        <v>3.51751207729469</v>
      </c>
      <c r="U750" s="8">
        <f>(L750+L751+L752+L753+O750+O751+O752+O753)/(K750+K751+K752+K753)*100</f>
        <v>82</v>
      </c>
    </row>
    <row r="751" ht="13.5" customHeight="1" spans="1:19">
      <c r="A751" s="4" t="s">
        <v>66</v>
      </c>
      <c r="B751" s="3">
        <v>1153</v>
      </c>
      <c r="C751" s="3">
        <v>7684</v>
      </c>
      <c r="D751" s="3">
        <v>0.1</v>
      </c>
      <c r="E751" s="4" t="s">
        <v>52</v>
      </c>
      <c r="F751" s="4" t="s">
        <v>53</v>
      </c>
      <c r="G751" s="4" t="s">
        <v>54</v>
      </c>
      <c r="H751" s="4" t="s">
        <v>40</v>
      </c>
      <c r="I751" s="4" t="s">
        <v>156</v>
      </c>
      <c r="J751" s="3">
        <v>2</v>
      </c>
      <c r="K751" s="3">
        <v>25</v>
      </c>
      <c r="L751" s="3">
        <v>20</v>
      </c>
      <c r="M751" s="3">
        <v>0</v>
      </c>
      <c r="N751" s="3">
        <v>5</v>
      </c>
      <c r="O751" s="3">
        <v>0</v>
      </c>
      <c r="P751" s="3">
        <f t="shared" si="0"/>
        <v>0</v>
      </c>
      <c r="Q751" s="3">
        <f t="shared" si="1"/>
        <v>100</v>
      </c>
      <c r="R751" s="3">
        <f t="shared" si="2"/>
        <v>0</v>
      </c>
      <c r="S751" s="11"/>
    </row>
    <row r="752" ht="13.5" customHeight="1" spans="1:19">
      <c r="A752" s="4" t="s">
        <v>66</v>
      </c>
      <c r="B752" s="3">
        <v>1153</v>
      </c>
      <c r="C752" s="3">
        <v>7684</v>
      </c>
      <c r="D752" s="3">
        <v>0.1</v>
      </c>
      <c r="E752" s="4" t="s">
        <v>52</v>
      </c>
      <c r="F752" s="4" t="s">
        <v>53</v>
      </c>
      <c r="G752" s="4" t="s">
        <v>54</v>
      </c>
      <c r="H752" s="4" t="s">
        <v>40</v>
      </c>
      <c r="I752" s="4" t="s">
        <v>156</v>
      </c>
      <c r="J752" s="3">
        <v>3</v>
      </c>
      <c r="K752" s="3">
        <v>25</v>
      </c>
      <c r="L752" s="3">
        <v>16</v>
      </c>
      <c r="M752" s="3">
        <v>1</v>
      </c>
      <c r="N752" s="3">
        <v>7</v>
      </c>
      <c r="O752" s="3">
        <v>1</v>
      </c>
      <c r="P752" s="3">
        <f t="shared" si="0"/>
        <v>0</v>
      </c>
      <c r="Q752" s="3">
        <f t="shared" si="1"/>
        <v>88.8888888888889</v>
      </c>
      <c r="R752" s="3">
        <f t="shared" si="2"/>
        <v>5.55555555555556</v>
      </c>
      <c r="S752" s="11"/>
    </row>
    <row r="753" ht="13.5" customHeight="1" spans="1:19">
      <c r="A753" s="4" t="s">
        <v>66</v>
      </c>
      <c r="B753" s="3">
        <v>1153</v>
      </c>
      <c r="C753" s="3">
        <v>7684</v>
      </c>
      <c r="D753" s="3">
        <v>0.1</v>
      </c>
      <c r="E753" s="4" t="s">
        <v>52</v>
      </c>
      <c r="F753" s="4" t="s">
        <v>53</v>
      </c>
      <c r="G753" s="4" t="s">
        <v>54</v>
      </c>
      <c r="H753" s="4" t="s">
        <v>40</v>
      </c>
      <c r="I753" s="4" t="s">
        <v>156</v>
      </c>
      <c r="J753" s="3">
        <v>4</v>
      </c>
      <c r="K753" s="3">
        <v>25</v>
      </c>
      <c r="L753" s="3">
        <v>21</v>
      </c>
      <c r="M753" s="3">
        <v>2</v>
      </c>
      <c r="N753" s="3">
        <v>1</v>
      </c>
      <c r="O753" s="3">
        <v>1</v>
      </c>
      <c r="P753" s="3">
        <f t="shared" si="0"/>
        <v>0</v>
      </c>
      <c r="Q753" s="3">
        <f t="shared" si="1"/>
        <v>87.5</v>
      </c>
      <c r="R753" s="3">
        <f t="shared" si="2"/>
        <v>4.16666666666667</v>
      </c>
      <c r="S753" s="11"/>
    </row>
    <row r="754" ht="13.5" customHeight="1" spans="1:21">
      <c r="A754" s="4" t="s">
        <v>46</v>
      </c>
      <c r="B754" s="3">
        <v>1270</v>
      </c>
      <c r="C754" s="3">
        <v>8757</v>
      </c>
      <c r="D754" s="3">
        <v>0.1</v>
      </c>
      <c r="E754" s="4" t="s">
        <v>48</v>
      </c>
      <c r="F754" s="4" t="s">
        <v>108</v>
      </c>
      <c r="G754" s="3" t="s">
        <v>168</v>
      </c>
      <c r="H754" s="4" t="s">
        <v>25</v>
      </c>
      <c r="I754" s="4" t="s">
        <v>156</v>
      </c>
      <c r="J754" s="3">
        <v>1</v>
      </c>
      <c r="K754" s="3">
        <v>25</v>
      </c>
      <c r="L754" s="3">
        <v>16</v>
      </c>
      <c r="M754" s="3">
        <v>1</v>
      </c>
      <c r="N754" s="3">
        <v>7</v>
      </c>
      <c r="O754" s="3">
        <v>1</v>
      </c>
      <c r="P754" s="3">
        <f t="shared" si="0"/>
        <v>0</v>
      </c>
      <c r="Q754" s="3">
        <f t="shared" si="1"/>
        <v>88.8888888888889</v>
      </c>
      <c r="R754" s="3">
        <f t="shared" si="2"/>
        <v>5.55555555555556</v>
      </c>
      <c r="S754" s="11">
        <f>AVERAGE(Q754:Q757)</f>
        <v>73.7090643274854</v>
      </c>
      <c r="T754" s="7">
        <f>AVERAGE(R754:R757)</f>
        <v>16.3362573099415</v>
      </c>
      <c r="U754" s="8">
        <f>(L754+L755+L756+L757+O754+O755+O756+O757)/(K754+K755+K756+K757)*100</f>
        <v>74</v>
      </c>
    </row>
    <row r="755" ht="13.5" customHeight="1" spans="1:19">
      <c r="A755" s="4" t="s">
        <v>46</v>
      </c>
      <c r="B755" s="3">
        <v>1270</v>
      </c>
      <c r="C755" s="3">
        <v>8757</v>
      </c>
      <c r="D755" s="3">
        <v>0.1</v>
      </c>
      <c r="E755" s="4" t="s">
        <v>48</v>
      </c>
      <c r="F755" s="4" t="s">
        <v>108</v>
      </c>
      <c r="G755" s="3" t="s">
        <v>168</v>
      </c>
      <c r="H755" s="4" t="s">
        <v>25</v>
      </c>
      <c r="I755" s="4" t="s">
        <v>156</v>
      </c>
      <c r="J755" s="3">
        <v>2</v>
      </c>
      <c r="K755" s="3">
        <v>25</v>
      </c>
      <c r="L755" s="3">
        <v>15</v>
      </c>
      <c r="M755" s="3">
        <v>1</v>
      </c>
      <c r="N755" s="3">
        <v>6</v>
      </c>
      <c r="O755" s="3">
        <v>3</v>
      </c>
      <c r="P755" s="3">
        <f t="shared" si="0"/>
        <v>0</v>
      </c>
      <c r="Q755" s="3">
        <f t="shared" si="1"/>
        <v>78.9473684210526</v>
      </c>
      <c r="R755" s="3">
        <f t="shared" si="2"/>
        <v>15.7894736842105</v>
      </c>
      <c r="S755" s="11"/>
    </row>
    <row r="756" ht="13.5" customHeight="1" spans="1:19">
      <c r="A756" s="4" t="s">
        <v>46</v>
      </c>
      <c r="B756" s="3">
        <v>1270</v>
      </c>
      <c r="C756" s="3">
        <v>8757</v>
      </c>
      <c r="D756" s="3">
        <v>0.1</v>
      </c>
      <c r="E756" s="4" t="s">
        <v>48</v>
      </c>
      <c r="F756" s="4" t="s">
        <v>108</v>
      </c>
      <c r="G756" s="3" t="s">
        <v>168</v>
      </c>
      <c r="H756" s="4" t="s">
        <v>25</v>
      </c>
      <c r="I756" s="4" t="s">
        <v>156</v>
      </c>
      <c r="J756" s="3">
        <v>3</v>
      </c>
      <c r="K756" s="3">
        <v>25</v>
      </c>
      <c r="L756" s="3">
        <v>15</v>
      </c>
      <c r="M756" s="3">
        <v>5</v>
      </c>
      <c r="N756" s="3">
        <v>5</v>
      </c>
      <c r="O756" s="3">
        <v>0</v>
      </c>
      <c r="P756" s="3">
        <f t="shared" si="0"/>
        <v>0</v>
      </c>
      <c r="Q756" s="3">
        <f t="shared" si="1"/>
        <v>75</v>
      </c>
      <c r="R756" s="3">
        <f t="shared" si="2"/>
        <v>0</v>
      </c>
      <c r="S756" s="11"/>
    </row>
    <row r="757" ht="13.5" customHeight="1" spans="1:19">
      <c r="A757" s="4" t="s">
        <v>46</v>
      </c>
      <c r="B757" s="3">
        <v>1270</v>
      </c>
      <c r="C757" s="3">
        <v>8757</v>
      </c>
      <c r="D757" s="3">
        <v>0.1</v>
      </c>
      <c r="E757" s="4" t="s">
        <v>48</v>
      </c>
      <c r="F757" s="4" t="s">
        <v>108</v>
      </c>
      <c r="G757" s="3" t="s">
        <v>168</v>
      </c>
      <c r="H757" s="4" t="s">
        <v>25</v>
      </c>
      <c r="I757" s="4" t="s">
        <v>156</v>
      </c>
      <c r="J757" s="3">
        <v>4</v>
      </c>
      <c r="K757" s="3">
        <v>25</v>
      </c>
      <c r="L757" s="3">
        <v>13</v>
      </c>
      <c r="M757" s="3">
        <v>1</v>
      </c>
      <c r="N757" s="3">
        <v>0</v>
      </c>
      <c r="O757" s="3">
        <v>11</v>
      </c>
      <c r="P757" s="3">
        <f t="shared" si="0"/>
        <v>0</v>
      </c>
      <c r="Q757" s="3">
        <f t="shared" si="1"/>
        <v>52</v>
      </c>
      <c r="R757" s="3">
        <f t="shared" si="2"/>
        <v>44</v>
      </c>
      <c r="S757" s="11"/>
    </row>
    <row r="758" ht="13.5" customHeight="1" spans="1:21">
      <c r="A758" s="4" t="s">
        <v>57</v>
      </c>
      <c r="B758" s="3">
        <v>1847</v>
      </c>
      <c r="C758" s="3">
        <v>10763</v>
      </c>
      <c r="D758" s="3">
        <v>0.1</v>
      </c>
      <c r="E758" s="4" t="s">
        <v>52</v>
      </c>
      <c r="F758" s="4" t="s">
        <v>53</v>
      </c>
      <c r="G758" s="4" t="s">
        <v>61</v>
      </c>
      <c r="H758" s="4" t="s">
        <v>62</v>
      </c>
      <c r="I758" s="4" t="s">
        <v>156</v>
      </c>
      <c r="J758" s="3">
        <v>1</v>
      </c>
      <c r="K758" s="3">
        <v>25</v>
      </c>
      <c r="L758" s="3">
        <v>16</v>
      </c>
      <c r="M758" s="3">
        <v>8</v>
      </c>
      <c r="N758" s="3">
        <v>1</v>
      </c>
      <c r="O758" s="3">
        <v>0</v>
      </c>
      <c r="P758" s="3">
        <f t="shared" si="0"/>
        <v>0</v>
      </c>
      <c r="Q758" s="3">
        <f t="shared" si="1"/>
        <v>66.6666666666667</v>
      </c>
      <c r="R758" s="3">
        <f t="shared" si="2"/>
        <v>0</v>
      </c>
      <c r="S758" s="11">
        <f>AVERAGE(Q758:Q761)</f>
        <v>50.9166666666667</v>
      </c>
      <c r="T758" s="7">
        <f>AVERAGE(R758:R761)</f>
        <v>0</v>
      </c>
      <c r="U758" s="8">
        <f>(L758+L759+L760+L761+O758+O759+O760+O761)/(K758+K759+K760+K761)*100</f>
        <v>47</v>
      </c>
    </row>
    <row r="759" ht="13.5" customHeight="1" spans="1:19">
      <c r="A759" s="4" t="s">
        <v>57</v>
      </c>
      <c r="B759" s="3">
        <v>1847</v>
      </c>
      <c r="C759" s="3">
        <v>10763</v>
      </c>
      <c r="D759" s="3">
        <v>0.1</v>
      </c>
      <c r="E759" s="4" t="s">
        <v>52</v>
      </c>
      <c r="F759" s="4" t="s">
        <v>53</v>
      </c>
      <c r="G759" s="4" t="s">
        <v>61</v>
      </c>
      <c r="H759" s="4" t="s">
        <v>62</v>
      </c>
      <c r="I759" s="4" t="s">
        <v>156</v>
      </c>
      <c r="J759" s="3">
        <v>2</v>
      </c>
      <c r="K759" s="3">
        <v>25</v>
      </c>
      <c r="L759" s="3">
        <v>13</v>
      </c>
      <c r="M759" s="3">
        <v>7</v>
      </c>
      <c r="N759" s="3">
        <v>5</v>
      </c>
      <c r="O759" s="3">
        <v>0</v>
      </c>
      <c r="P759" s="3">
        <f t="shared" si="0"/>
        <v>0</v>
      </c>
      <c r="Q759" s="3">
        <f t="shared" si="1"/>
        <v>65</v>
      </c>
      <c r="R759" s="3">
        <f t="shared" si="2"/>
        <v>0</v>
      </c>
      <c r="S759" s="11"/>
    </row>
    <row r="760" ht="13.5" customHeight="1" spans="1:19">
      <c r="A760" s="4" t="s">
        <v>57</v>
      </c>
      <c r="B760" s="3">
        <v>1847</v>
      </c>
      <c r="C760" s="3">
        <v>10763</v>
      </c>
      <c r="D760" s="3">
        <v>0.1</v>
      </c>
      <c r="E760" s="4" t="s">
        <v>52</v>
      </c>
      <c r="F760" s="4" t="s">
        <v>53</v>
      </c>
      <c r="G760" s="4" t="s">
        <v>61</v>
      </c>
      <c r="H760" s="4" t="s">
        <v>62</v>
      </c>
      <c r="I760" s="4" t="s">
        <v>156</v>
      </c>
      <c r="J760" s="3">
        <v>3</v>
      </c>
      <c r="K760" s="3">
        <v>25</v>
      </c>
      <c r="L760" s="3">
        <v>9</v>
      </c>
      <c r="M760" s="3">
        <v>16</v>
      </c>
      <c r="N760" s="3">
        <v>0</v>
      </c>
      <c r="O760" s="3">
        <v>0</v>
      </c>
      <c r="P760" s="3">
        <f t="shared" si="0"/>
        <v>0</v>
      </c>
      <c r="Q760" s="3">
        <f t="shared" si="1"/>
        <v>36</v>
      </c>
      <c r="R760" s="3">
        <f t="shared" si="2"/>
        <v>0</v>
      </c>
      <c r="S760" s="11"/>
    </row>
    <row r="761" ht="13.5" customHeight="1" spans="1:19">
      <c r="A761" s="4" t="s">
        <v>57</v>
      </c>
      <c r="B761" s="3">
        <v>1847</v>
      </c>
      <c r="C761" s="3">
        <v>10763</v>
      </c>
      <c r="D761" s="3">
        <v>0.1</v>
      </c>
      <c r="E761" s="4" t="s">
        <v>52</v>
      </c>
      <c r="F761" s="4" t="s">
        <v>53</v>
      </c>
      <c r="G761" s="4" t="s">
        <v>61</v>
      </c>
      <c r="H761" s="4" t="s">
        <v>62</v>
      </c>
      <c r="I761" s="4" t="s">
        <v>156</v>
      </c>
      <c r="J761" s="3">
        <v>4</v>
      </c>
      <c r="K761" s="3">
        <v>25</v>
      </c>
      <c r="L761" s="3">
        <v>9</v>
      </c>
      <c r="M761" s="3">
        <v>16</v>
      </c>
      <c r="N761" s="3">
        <v>0</v>
      </c>
      <c r="O761" s="3">
        <v>0</v>
      </c>
      <c r="P761" s="3">
        <f t="shared" si="0"/>
        <v>0</v>
      </c>
      <c r="Q761" s="3">
        <f t="shared" si="1"/>
        <v>36</v>
      </c>
      <c r="R761" s="3">
        <f t="shared" si="2"/>
        <v>0</v>
      </c>
      <c r="S761" s="11"/>
    </row>
    <row r="762" ht="13.5" customHeight="1" spans="1:21">
      <c r="A762" s="4" t="s">
        <v>93</v>
      </c>
      <c r="B762" s="3">
        <v>1661</v>
      </c>
      <c r="C762" s="3">
        <v>10216</v>
      </c>
      <c r="D762" s="3">
        <v>0.1</v>
      </c>
      <c r="E762" s="4" t="s">
        <v>52</v>
      </c>
      <c r="F762" s="4" t="s">
        <v>53</v>
      </c>
      <c r="G762" s="4" t="s">
        <v>135</v>
      </c>
      <c r="H762" s="4" t="s">
        <v>40</v>
      </c>
      <c r="I762" s="4" t="s">
        <v>156</v>
      </c>
      <c r="J762" s="3">
        <v>1</v>
      </c>
      <c r="K762" s="3">
        <v>25</v>
      </c>
      <c r="L762" s="3">
        <v>19</v>
      </c>
      <c r="M762" s="3">
        <v>1</v>
      </c>
      <c r="N762" s="3">
        <v>5</v>
      </c>
      <c r="O762" s="3">
        <v>0</v>
      </c>
      <c r="P762" s="3">
        <f t="shared" si="0"/>
        <v>0</v>
      </c>
      <c r="Q762" s="3">
        <f t="shared" si="1"/>
        <v>95</v>
      </c>
      <c r="R762" s="3">
        <f t="shared" si="2"/>
        <v>0</v>
      </c>
      <c r="S762" s="11">
        <f>AVERAGE(Q762:Q765)</f>
        <v>86.8214285714286</v>
      </c>
      <c r="T762" s="7">
        <f>AVERAGE(R762:R765)</f>
        <v>1.04166666666667</v>
      </c>
      <c r="U762" s="8">
        <f>(L762+L763+L764+L765+O762+O763+O764+O765)/(K762+K763+K764+K765)*100</f>
        <v>79</v>
      </c>
    </row>
    <row r="763" ht="13.5" customHeight="1" spans="1:19">
      <c r="A763" s="4" t="s">
        <v>93</v>
      </c>
      <c r="B763" s="3">
        <v>1661</v>
      </c>
      <c r="C763" s="3">
        <v>10216</v>
      </c>
      <c r="D763" s="3">
        <v>0.1</v>
      </c>
      <c r="E763" s="4" t="s">
        <v>52</v>
      </c>
      <c r="F763" s="4" t="s">
        <v>53</v>
      </c>
      <c r="G763" s="4" t="s">
        <v>135</v>
      </c>
      <c r="H763" s="4" t="s">
        <v>40</v>
      </c>
      <c r="I763" s="4" t="s">
        <v>156</v>
      </c>
      <c r="J763" s="3">
        <v>2</v>
      </c>
      <c r="K763" s="3">
        <v>25</v>
      </c>
      <c r="L763" s="3">
        <v>17</v>
      </c>
      <c r="M763" s="3">
        <v>4</v>
      </c>
      <c r="N763" s="3">
        <v>4</v>
      </c>
      <c r="O763" s="3">
        <v>0</v>
      </c>
      <c r="P763" s="3">
        <f t="shared" si="0"/>
        <v>0</v>
      </c>
      <c r="Q763" s="3">
        <f t="shared" si="1"/>
        <v>80.9523809523809</v>
      </c>
      <c r="R763" s="3">
        <f t="shared" si="2"/>
        <v>0</v>
      </c>
      <c r="S763" s="11"/>
    </row>
    <row r="764" ht="13.5" customHeight="1" spans="1:19">
      <c r="A764" s="4" t="s">
        <v>93</v>
      </c>
      <c r="B764" s="3">
        <v>1661</v>
      </c>
      <c r="C764" s="3">
        <v>10216</v>
      </c>
      <c r="D764" s="3">
        <v>0.1</v>
      </c>
      <c r="E764" s="4" t="s">
        <v>52</v>
      </c>
      <c r="F764" s="4" t="s">
        <v>53</v>
      </c>
      <c r="G764" s="4" t="s">
        <v>135</v>
      </c>
      <c r="H764" s="4" t="s">
        <v>40</v>
      </c>
      <c r="I764" s="4" t="s">
        <v>156</v>
      </c>
      <c r="J764" s="3">
        <v>3</v>
      </c>
      <c r="K764" s="3">
        <v>25</v>
      </c>
      <c r="L764" s="3">
        <v>22</v>
      </c>
      <c r="M764" s="3">
        <v>3</v>
      </c>
      <c r="N764" s="3">
        <v>0</v>
      </c>
      <c r="O764" s="3">
        <v>0</v>
      </c>
      <c r="P764" s="3">
        <f t="shared" si="0"/>
        <v>0</v>
      </c>
      <c r="Q764" s="3">
        <f t="shared" si="1"/>
        <v>88</v>
      </c>
      <c r="R764" s="3">
        <f t="shared" si="2"/>
        <v>0</v>
      </c>
      <c r="S764" s="11"/>
    </row>
    <row r="765" ht="13.5" customHeight="1" spans="1:19">
      <c r="A765" s="4" t="s">
        <v>93</v>
      </c>
      <c r="B765" s="3">
        <v>1661</v>
      </c>
      <c r="C765" s="3">
        <v>10216</v>
      </c>
      <c r="D765" s="3">
        <v>0.1</v>
      </c>
      <c r="E765" s="4" t="s">
        <v>52</v>
      </c>
      <c r="F765" s="4" t="s">
        <v>53</v>
      </c>
      <c r="G765" s="4" t="s">
        <v>135</v>
      </c>
      <c r="H765" s="4" t="s">
        <v>40</v>
      </c>
      <c r="I765" s="4" t="s">
        <v>156</v>
      </c>
      <c r="J765" s="3">
        <v>4</v>
      </c>
      <c r="K765" s="3">
        <v>25</v>
      </c>
      <c r="L765" s="3">
        <v>20</v>
      </c>
      <c r="M765" s="3">
        <v>3</v>
      </c>
      <c r="N765" s="3">
        <v>1</v>
      </c>
      <c r="O765" s="3">
        <v>1</v>
      </c>
      <c r="P765" s="3">
        <f t="shared" si="0"/>
        <v>0</v>
      </c>
      <c r="Q765" s="3">
        <f t="shared" si="1"/>
        <v>83.3333333333333</v>
      </c>
      <c r="R765" s="3">
        <f t="shared" si="2"/>
        <v>4.16666666666667</v>
      </c>
      <c r="S765" s="11"/>
    </row>
    <row r="766" ht="13.5" customHeight="1" spans="1:21">
      <c r="A766" s="4" t="s">
        <v>42</v>
      </c>
      <c r="B766" s="3">
        <v>1441</v>
      </c>
      <c r="C766" s="3">
        <v>9420</v>
      </c>
      <c r="D766" s="3">
        <v>0.1</v>
      </c>
      <c r="E766" s="4" t="s">
        <v>52</v>
      </c>
      <c r="F766" s="4" t="s">
        <v>53</v>
      </c>
      <c r="G766" s="4" t="s">
        <v>54</v>
      </c>
      <c r="H766" s="4" t="s">
        <v>40</v>
      </c>
      <c r="I766" s="4" t="s">
        <v>156</v>
      </c>
      <c r="J766" s="3">
        <v>1</v>
      </c>
      <c r="K766" s="3">
        <v>25</v>
      </c>
      <c r="L766" s="3">
        <v>21</v>
      </c>
      <c r="M766" s="3">
        <v>4</v>
      </c>
      <c r="N766" s="3">
        <v>0</v>
      </c>
      <c r="O766" s="3">
        <v>0</v>
      </c>
      <c r="P766" s="3">
        <f t="shared" si="0"/>
        <v>0</v>
      </c>
      <c r="Q766" s="3">
        <f t="shared" si="1"/>
        <v>84</v>
      </c>
      <c r="R766" s="3">
        <f t="shared" si="2"/>
        <v>0</v>
      </c>
      <c r="S766" s="11">
        <f>AVERAGE(Q766:Q769)</f>
        <v>84</v>
      </c>
      <c r="T766" s="7">
        <f>AVERAGE(R766:R769)</f>
        <v>0</v>
      </c>
      <c r="U766" s="8">
        <f>(L766+L767+L768+L769+O766+O767+O768+O769)/(K766+K767+K768+K769)*100</f>
        <v>84</v>
      </c>
    </row>
    <row r="767" ht="13.5" customHeight="1" spans="1:19">
      <c r="A767" s="4" t="s">
        <v>42</v>
      </c>
      <c r="B767" s="3">
        <v>1441</v>
      </c>
      <c r="C767" s="3">
        <v>9420</v>
      </c>
      <c r="D767" s="3">
        <v>0.1</v>
      </c>
      <c r="E767" s="4" t="s">
        <v>52</v>
      </c>
      <c r="F767" s="4" t="s">
        <v>53</v>
      </c>
      <c r="G767" s="4" t="s">
        <v>54</v>
      </c>
      <c r="H767" s="4" t="s">
        <v>40</v>
      </c>
      <c r="I767" s="4" t="s">
        <v>156</v>
      </c>
      <c r="J767" s="3">
        <v>2</v>
      </c>
      <c r="K767" s="3">
        <v>25</v>
      </c>
      <c r="L767" s="3">
        <v>18</v>
      </c>
      <c r="M767" s="3">
        <v>7</v>
      </c>
      <c r="N767" s="3">
        <v>0</v>
      </c>
      <c r="O767" s="3">
        <v>0</v>
      </c>
      <c r="P767" s="3">
        <f t="shared" si="0"/>
        <v>0</v>
      </c>
      <c r="Q767" s="3">
        <f t="shared" si="1"/>
        <v>72</v>
      </c>
      <c r="R767" s="3">
        <f t="shared" si="2"/>
        <v>0</v>
      </c>
      <c r="S767" s="11"/>
    </row>
    <row r="768" ht="13.5" customHeight="1" spans="1:19">
      <c r="A768" s="4" t="s">
        <v>42</v>
      </c>
      <c r="B768" s="3">
        <v>1441</v>
      </c>
      <c r="C768" s="3">
        <v>9420</v>
      </c>
      <c r="D768" s="3">
        <v>0.1</v>
      </c>
      <c r="E768" s="4" t="s">
        <v>52</v>
      </c>
      <c r="F768" s="4" t="s">
        <v>53</v>
      </c>
      <c r="G768" s="4" t="s">
        <v>54</v>
      </c>
      <c r="H768" s="4" t="s">
        <v>40</v>
      </c>
      <c r="I768" s="4" t="s">
        <v>156</v>
      </c>
      <c r="J768" s="3">
        <v>3</v>
      </c>
      <c r="K768" s="3">
        <v>25</v>
      </c>
      <c r="L768" s="3">
        <v>22</v>
      </c>
      <c r="M768" s="3">
        <v>3</v>
      </c>
      <c r="N768" s="3">
        <v>0</v>
      </c>
      <c r="O768" s="3">
        <v>0</v>
      </c>
      <c r="P768" s="3">
        <f t="shared" si="0"/>
        <v>0</v>
      </c>
      <c r="Q768" s="3">
        <f t="shared" si="1"/>
        <v>88</v>
      </c>
      <c r="R768" s="3">
        <f t="shared" si="2"/>
        <v>0</v>
      </c>
      <c r="S768" s="11"/>
    </row>
    <row r="769" ht="13.5" customHeight="1" spans="1:19">
      <c r="A769" s="4" t="s">
        <v>42</v>
      </c>
      <c r="B769" s="3">
        <v>1441</v>
      </c>
      <c r="C769" s="3">
        <v>9420</v>
      </c>
      <c r="D769" s="3">
        <v>0.1</v>
      </c>
      <c r="E769" s="4" t="s">
        <v>52</v>
      </c>
      <c r="F769" s="4" t="s">
        <v>53</v>
      </c>
      <c r="G769" s="4" t="s">
        <v>54</v>
      </c>
      <c r="H769" s="4" t="s">
        <v>40</v>
      </c>
      <c r="I769" s="4" t="s">
        <v>156</v>
      </c>
      <c r="J769" s="3">
        <v>4</v>
      </c>
      <c r="K769" s="3">
        <v>25</v>
      </c>
      <c r="L769" s="3">
        <v>23</v>
      </c>
      <c r="M769" s="3">
        <v>2</v>
      </c>
      <c r="N769" s="3">
        <v>0</v>
      </c>
      <c r="O769" s="3">
        <v>0</v>
      </c>
      <c r="P769" s="3">
        <f t="shared" si="0"/>
        <v>0</v>
      </c>
      <c r="Q769" s="3">
        <f t="shared" si="1"/>
        <v>92</v>
      </c>
      <c r="R769" s="3">
        <f t="shared" si="2"/>
        <v>0</v>
      </c>
      <c r="S769" s="11"/>
    </row>
    <row r="770" ht="13.5" customHeight="1" spans="1:21">
      <c r="A770" s="4" t="s">
        <v>41</v>
      </c>
      <c r="B770" s="3">
        <v>1073</v>
      </c>
      <c r="C770" s="3">
        <v>6256</v>
      </c>
      <c r="D770" s="3">
        <v>0.1</v>
      </c>
      <c r="E770" s="4" t="s">
        <v>52</v>
      </c>
      <c r="F770" s="4" t="s">
        <v>53</v>
      </c>
      <c r="G770" s="3" t="s">
        <v>59</v>
      </c>
      <c r="H770" s="4" t="s">
        <v>25</v>
      </c>
      <c r="I770" s="4" t="s">
        <v>156</v>
      </c>
      <c r="J770" s="3">
        <v>1</v>
      </c>
      <c r="K770" s="3">
        <v>25</v>
      </c>
      <c r="L770" s="3">
        <v>14</v>
      </c>
      <c r="M770" s="3">
        <v>10</v>
      </c>
      <c r="N770" s="3">
        <v>0</v>
      </c>
      <c r="O770" s="3">
        <v>1</v>
      </c>
      <c r="P770" s="3">
        <f t="shared" si="0"/>
        <v>0</v>
      </c>
      <c r="Q770" s="3">
        <f t="shared" si="1"/>
        <v>56</v>
      </c>
      <c r="R770" s="3">
        <f t="shared" si="2"/>
        <v>4</v>
      </c>
      <c r="S770" s="11">
        <f>AVERAGE(Q770:Q773)</f>
        <v>65</v>
      </c>
      <c r="T770" s="7">
        <f>AVERAGE(R770:R773)</f>
        <v>1</v>
      </c>
      <c r="U770" s="8">
        <f>(L770+L771+L772+L773+O770+O771+O772+O773)/(K770+K771+K772+K773)*100</f>
        <v>66</v>
      </c>
    </row>
    <row r="771" ht="13.5" customHeight="1" spans="1:19">
      <c r="A771" s="4" t="s">
        <v>41</v>
      </c>
      <c r="B771" s="3">
        <v>1073</v>
      </c>
      <c r="C771" s="3">
        <v>6256</v>
      </c>
      <c r="D771" s="3">
        <v>0.1</v>
      </c>
      <c r="E771" s="4" t="s">
        <v>52</v>
      </c>
      <c r="F771" s="4" t="s">
        <v>53</v>
      </c>
      <c r="G771" s="3" t="s">
        <v>59</v>
      </c>
      <c r="H771" s="4" t="s">
        <v>25</v>
      </c>
      <c r="I771" s="4" t="s">
        <v>156</v>
      </c>
      <c r="J771" s="3">
        <v>2</v>
      </c>
      <c r="K771" s="3">
        <v>25</v>
      </c>
      <c r="L771" s="3">
        <v>12</v>
      </c>
      <c r="M771" s="3">
        <v>13</v>
      </c>
      <c r="N771" s="3">
        <v>0</v>
      </c>
      <c r="O771" s="3">
        <v>0</v>
      </c>
      <c r="P771" s="3">
        <f t="shared" si="0"/>
        <v>0</v>
      </c>
      <c r="Q771" s="3">
        <f t="shared" si="1"/>
        <v>48</v>
      </c>
      <c r="R771" s="3">
        <f t="shared" si="2"/>
        <v>0</v>
      </c>
      <c r="S771" s="11"/>
    </row>
    <row r="772" ht="13.5" customHeight="1" spans="1:19">
      <c r="A772" s="4" t="s">
        <v>41</v>
      </c>
      <c r="B772" s="3">
        <v>1073</v>
      </c>
      <c r="C772" s="3">
        <v>6256</v>
      </c>
      <c r="D772" s="3">
        <v>0.1</v>
      </c>
      <c r="E772" s="4" t="s">
        <v>52</v>
      </c>
      <c r="F772" s="4" t="s">
        <v>53</v>
      </c>
      <c r="G772" s="3" t="s">
        <v>59</v>
      </c>
      <c r="H772" s="4" t="s">
        <v>25</v>
      </c>
      <c r="I772" s="4" t="s">
        <v>156</v>
      </c>
      <c r="J772" s="3">
        <v>3</v>
      </c>
      <c r="K772" s="3">
        <v>25</v>
      </c>
      <c r="L772" s="3">
        <v>21</v>
      </c>
      <c r="M772" s="3">
        <v>4</v>
      </c>
      <c r="N772" s="3">
        <v>0</v>
      </c>
      <c r="O772" s="3">
        <v>0</v>
      </c>
      <c r="P772" s="3">
        <f t="shared" si="0"/>
        <v>0</v>
      </c>
      <c r="Q772" s="3">
        <f t="shared" si="1"/>
        <v>84</v>
      </c>
      <c r="R772" s="3">
        <f t="shared" si="2"/>
        <v>0</v>
      </c>
      <c r="S772" s="11"/>
    </row>
    <row r="773" ht="13.5" customHeight="1" spans="1:19">
      <c r="A773" s="4" t="s">
        <v>41</v>
      </c>
      <c r="B773" s="3">
        <v>1073</v>
      </c>
      <c r="C773" s="3">
        <v>6256</v>
      </c>
      <c r="D773" s="3">
        <v>0.1</v>
      </c>
      <c r="E773" s="4" t="s">
        <v>52</v>
      </c>
      <c r="F773" s="4" t="s">
        <v>53</v>
      </c>
      <c r="G773" s="3" t="s">
        <v>59</v>
      </c>
      <c r="H773" s="4" t="s">
        <v>25</v>
      </c>
      <c r="I773" s="4" t="s">
        <v>156</v>
      </c>
      <c r="J773" s="3">
        <v>4</v>
      </c>
      <c r="K773" s="3">
        <v>25</v>
      </c>
      <c r="L773" s="3">
        <v>18</v>
      </c>
      <c r="M773" s="3">
        <v>7</v>
      </c>
      <c r="N773" s="3">
        <v>0</v>
      </c>
      <c r="O773" s="3">
        <v>0</v>
      </c>
      <c r="P773" s="3">
        <f t="shared" si="0"/>
        <v>0</v>
      </c>
      <c r="Q773" s="3">
        <f t="shared" si="1"/>
        <v>72</v>
      </c>
      <c r="R773" s="3">
        <f t="shared" si="2"/>
        <v>0</v>
      </c>
      <c r="S773" s="11"/>
    </row>
    <row r="774" ht="13.5" customHeight="1" spans="1:21">
      <c r="A774" s="4" t="s">
        <v>46</v>
      </c>
      <c r="B774" s="3">
        <v>1270</v>
      </c>
      <c r="C774" s="3">
        <v>8757</v>
      </c>
      <c r="D774" s="3">
        <v>0.1</v>
      </c>
      <c r="E774" s="4" t="s">
        <v>52</v>
      </c>
      <c r="F774" s="4" t="s">
        <v>53</v>
      </c>
      <c r="G774" s="4" t="s">
        <v>54</v>
      </c>
      <c r="H774" s="4" t="s">
        <v>40</v>
      </c>
      <c r="I774" s="4" t="s">
        <v>156</v>
      </c>
      <c r="J774" s="3">
        <v>1</v>
      </c>
      <c r="K774" s="3">
        <v>25</v>
      </c>
      <c r="L774" s="3">
        <v>20</v>
      </c>
      <c r="M774" s="3">
        <v>5</v>
      </c>
      <c r="N774" s="3">
        <v>0</v>
      </c>
      <c r="O774" s="3">
        <v>0</v>
      </c>
      <c r="P774" s="3">
        <f t="shared" si="0"/>
        <v>0</v>
      </c>
      <c r="Q774" s="3">
        <f t="shared" si="1"/>
        <v>80</v>
      </c>
      <c r="R774" s="3">
        <f t="shared" si="2"/>
        <v>0</v>
      </c>
      <c r="S774" s="11">
        <f>AVERAGE(Q774:Q777)</f>
        <v>84.8809523809524</v>
      </c>
      <c r="T774" s="7">
        <f>AVERAGE(R774:R777)</f>
        <v>5.50595238095238</v>
      </c>
      <c r="U774" s="8">
        <f>(L774+L775+L776+L777+O774+O775+O776+O777)/(K774+K775+K776+K777)*100</f>
        <v>85</v>
      </c>
    </row>
    <row r="775" ht="13.5" customHeight="1" spans="1:19">
      <c r="A775" s="4" t="s">
        <v>46</v>
      </c>
      <c r="B775" s="3">
        <v>1270</v>
      </c>
      <c r="C775" s="3">
        <v>8757</v>
      </c>
      <c r="D775" s="3">
        <v>0.1</v>
      </c>
      <c r="E775" s="4" t="s">
        <v>52</v>
      </c>
      <c r="F775" s="4" t="s">
        <v>53</v>
      </c>
      <c r="G775" s="4" t="s">
        <v>54</v>
      </c>
      <c r="H775" s="4" t="s">
        <v>40</v>
      </c>
      <c r="I775" s="4" t="s">
        <v>156</v>
      </c>
      <c r="J775" s="3">
        <v>2</v>
      </c>
      <c r="K775" s="3">
        <v>25</v>
      </c>
      <c r="L775" s="3">
        <v>21</v>
      </c>
      <c r="M775" s="3">
        <v>0</v>
      </c>
      <c r="N775" s="3">
        <v>1</v>
      </c>
      <c r="O775" s="3">
        <v>3</v>
      </c>
      <c r="P775" s="3">
        <f t="shared" si="0"/>
        <v>0</v>
      </c>
      <c r="Q775" s="3">
        <f t="shared" si="1"/>
        <v>87.5</v>
      </c>
      <c r="R775" s="3">
        <f t="shared" si="2"/>
        <v>12.5</v>
      </c>
      <c r="S775" s="11"/>
    </row>
    <row r="776" ht="13.5" customHeight="1" spans="1:19">
      <c r="A776" s="4" t="s">
        <v>46</v>
      </c>
      <c r="B776" s="3">
        <v>1270</v>
      </c>
      <c r="C776" s="3">
        <v>8757</v>
      </c>
      <c r="D776" s="3">
        <v>0.1</v>
      </c>
      <c r="E776" s="4" t="s">
        <v>52</v>
      </c>
      <c r="F776" s="4" t="s">
        <v>53</v>
      </c>
      <c r="G776" s="4" t="s">
        <v>54</v>
      </c>
      <c r="H776" s="4" t="s">
        <v>40</v>
      </c>
      <c r="I776" s="4" t="s">
        <v>156</v>
      </c>
      <c r="J776" s="3">
        <v>3</v>
      </c>
      <c r="K776" s="3">
        <v>25</v>
      </c>
      <c r="L776" s="3">
        <v>16</v>
      </c>
      <c r="M776" s="3">
        <v>3</v>
      </c>
      <c r="N776" s="3">
        <v>4</v>
      </c>
      <c r="O776" s="3">
        <v>2</v>
      </c>
      <c r="P776" s="3">
        <f t="shared" si="0"/>
        <v>0</v>
      </c>
      <c r="Q776" s="3">
        <f t="shared" si="1"/>
        <v>76.1904761904762</v>
      </c>
      <c r="R776" s="3">
        <f t="shared" si="2"/>
        <v>9.52380952380952</v>
      </c>
      <c r="S776" s="11"/>
    </row>
    <row r="777" ht="13.5" customHeight="1" spans="1:19">
      <c r="A777" s="4" t="s">
        <v>46</v>
      </c>
      <c r="B777" s="3">
        <v>1270</v>
      </c>
      <c r="C777" s="3">
        <v>8757</v>
      </c>
      <c r="D777" s="3">
        <v>0.1</v>
      </c>
      <c r="E777" s="4" t="s">
        <v>52</v>
      </c>
      <c r="F777" s="4" t="s">
        <v>53</v>
      </c>
      <c r="G777" s="4" t="s">
        <v>54</v>
      </c>
      <c r="H777" s="4" t="s">
        <v>40</v>
      </c>
      <c r="I777" s="4" t="s">
        <v>156</v>
      </c>
      <c r="J777" s="3">
        <v>4</v>
      </c>
      <c r="K777" s="3">
        <v>25</v>
      </c>
      <c r="L777" s="3">
        <v>23</v>
      </c>
      <c r="M777" s="3">
        <v>1</v>
      </c>
      <c r="N777" s="3">
        <v>1</v>
      </c>
      <c r="O777" s="3">
        <v>0</v>
      </c>
      <c r="P777" s="3">
        <f t="shared" si="0"/>
        <v>0</v>
      </c>
      <c r="Q777" s="3">
        <f t="shared" si="1"/>
        <v>95.8333333333333</v>
      </c>
      <c r="R777" s="3">
        <f t="shared" si="2"/>
        <v>0</v>
      </c>
      <c r="S777" s="11"/>
    </row>
    <row r="778" ht="13.5" customHeight="1" spans="1:21">
      <c r="A778" s="4" t="s">
        <v>47</v>
      </c>
      <c r="B778" s="3">
        <v>1504</v>
      </c>
      <c r="C778" s="3">
        <v>9859</v>
      </c>
      <c r="D778" s="3">
        <v>0.1</v>
      </c>
      <c r="E778" s="4" t="s">
        <v>52</v>
      </c>
      <c r="F778" s="4" t="s">
        <v>53</v>
      </c>
      <c r="G778" s="4" t="s">
        <v>54</v>
      </c>
      <c r="H778" s="4" t="s">
        <v>40</v>
      </c>
      <c r="I778" s="4" t="s">
        <v>156</v>
      </c>
      <c r="J778" s="3">
        <v>1</v>
      </c>
      <c r="K778" s="3">
        <v>25</v>
      </c>
      <c r="L778" s="3">
        <v>22</v>
      </c>
      <c r="M778" s="3">
        <v>3</v>
      </c>
      <c r="N778" s="3">
        <v>0</v>
      </c>
      <c r="O778" s="3">
        <v>0</v>
      </c>
      <c r="P778" s="3">
        <f t="shared" si="0"/>
        <v>0</v>
      </c>
      <c r="Q778" s="3">
        <f t="shared" si="1"/>
        <v>88</v>
      </c>
      <c r="R778" s="3">
        <f t="shared" si="2"/>
        <v>0</v>
      </c>
      <c r="S778" s="11">
        <f>AVERAGE(Q778:Q781)</f>
        <v>89.8333333333333</v>
      </c>
      <c r="T778" s="7">
        <f>AVERAGE(R778:R781)</f>
        <v>0</v>
      </c>
      <c r="U778" s="8">
        <f>(L778+L779+L780+L781+O778+O779+O780+O781)/(K778+K779+K780+K781)*100</f>
        <v>88</v>
      </c>
    </row>
    <row r="779" ht="13.5" customHeight="1" spans="1:19">
      <c r="A779" s="4" t="s">
        <v>47</v>
      </c>
      <c r="B779" s="3">
        <v>1504</v>
      </c>
      <c r="C779" s="3">
        <v>9859</v>
      </c>
      <c r="D779" s="3">
        <v>0.1</v>
      </c>
      <c r="E779" s="4" t="s">
        <v>52</v>
      </c>
      <c r="F779" s="4" t="s">
        <v>53</v>
      </c>
      <c r="G779" s="4" t="s">
        <v>54</v>
      </c>
      <c r="H779" s="4" t="s">
        <v>40</v>
      </c>
      <c r="I779" s="4" t="s">
        <v>156</v>
      </c>
      <c r="J779" s="3">
        <v>2</v>
      </c>
      <c r="K779" s="3">
        <v>25</v>
      </c>
      <c r="L779" s="3">
        <v>22</v>
      </c>
      <c r="M779" s="3">
        <v>3</v>
      </c>
      <c r="N779" s="3">
        <v>0</v>
      </c>
      <c r="O779" s="3">
        <v>0</v>
      </c>
      <c r="P779" s="3">
        <f t="shared" si="0"/>
        <v>0</v>
      </c>
      <c r="Q779" s="3">
        <f t="shared" si="1"/>
        <v>88</v>
      </c>
      <c r="R779" s="3">
        <f t="shared" si="2"/>
        <v>0</v>
      </c>
      <c r="S779" s="11"/>
    </row>
    <row r="780" ht="13.5" customHeight="1" spans="1:19">
      <c r="A780" s="4" t="s">
        <v>47</v>
      </c>
      <c r="B780" s="3">
        <v>1504</v>
      </c>
      <c r="C780" s="3">
        <v>9859</v>
      </c>
      <c r="D780" s="3">
        <v>0.1</v>
      </c>
      <c r="E780" s="4" t="s">
        <v>52</v>
      </c>
      <c r="F780" s="4" t="s">
        <v>53</v>
      </c>
      <c r="G780" s="4" t="s">
        <v>54</v>
      </c>
      <c r="H780" s="4" t="s">
        <v>40</v>
      </c>
      <c r="I780" s="4" t="s">
        <v>156</v>
      </c>
      <c r="J780" s="3">
        <v>3</v>
      </c>
      <c r="K780" s="3">
        <v>25</v>
      </c>
      <c r="L780" s="3">
        <v>22</v>
      </c>
      <c r="M780" s="3">
        <v>2</v>
      </c>
      <c r="N780" s="3">
        <v>1</v>
      </c>
      <c r="O780" s="3">
        <v>0</v>
      </c>
      <c r="P780" s="3">
        <f t="shared" si="0"/>
        <v>0</v>
      </c>
      <c r="Q780" s="3">
        <f t="shared" si="1"/>
        <v>91.6666666666667</v>
      </c>
      <c r="R780" s="3">
        <f t="shared" si="2"/>
        <v>0</v>
      </c>
      <c r="S780" s="11"/>
    </row>
    <row r="781" ht="13.5" customHeight="1" spans="1:19">
      <c r="A781" s="4" t="s">
        <v>47</v>
      </c>
      <c r="B781" s="3">
        <v>1504</v>
      </c>
      <c r="C781" s="3">
        <v>9859</v>
      </c>
      <c r="D781" s="3">
        <v>0.1</v>
      </c>
      <c r="E781" s="4" t="s">
        <v>52</v>
      </c>
      <c r="F781" s="4" t="s">
        <v>53</v>
      </c>
      <c r="G781" s="4" t="s">
        <v>54</v>
      </c>
      <c r="H781" s="4" t="s">
        <v>40</v>
      </c>
      <c r="I781" s="4" t="s">
        <v>156</v>
      </c>
      <c r="J781" s="3">
        <v>4</v>
      </c>
      <c r="K781" s="3">
        <v>25</v>
      </c>
      <c r="L781" s="3">
        <v>22</v>
      </c>
      <c r="M781" s="3">
        <v>2</v>
      </c>
      <c r="N781" s="3">
        <v>1</v>
      </c>
      <c r="O781" s="3">
        <v>0</v>
      </c>
      <c r="P781" s="3">
        <f t="shared" si="0"/>
        <v>0</v>
      </c>
      <c r="Q781" s="3">
        <f t="shared" si="1"/>
        <v>91.6666666666667</v>
      </c>
      <c r="R781" s="3">
        <f t="shared" si="2"/>
        <v>0</v>
      </c>
      <c r="S781" s="11"/>
    </row>
    <row r="782" ht="13.5" customHeight="1" spans="1:21">
      <c r="A782" s="4" t="s">
        <v>47</v>
      </c>
      <c r="B782" s="3">
        <v>1504</v>
      </c>
      <c r="C782" s="3">
        <v>9859</v>
      </c>
      <c r="D782" s="3">
        <v>0.1</v>
      </c>
      <c r="E782" s="4" t="s">
        <v>28</v>
      </c>
      <c r="F782" s="4" t="s">
        <v>72</v>
      </c>
      <c r="G782" s="3" t="s">
        <v>73</v>
      </c>
      <c r="H782" s="4" t="s">
        <v>40</v>
      </c>
      <c r="I782" s="4" t="s">
        <v>156</v>
      </c>
      <c r="J782" s="3">
        <v>1</v>
      </c>
      <c r="K782" s="3">
        <v>25</v>
      </c>
      <c r="L782" s="3">
        <v>0</v>
      </c>
      <c r="M782" s="3">
        <v>10</v>
      </c>
      <c r="N782" s="3">
        <v>1</v>
      </c>
      <c r="O782" s="3">
        <v>14</v>
      </c>
      <c r="P782" s="3">
        <f t="shared" si="0"/>
        <v>0</v>
      </c>
      <c r="Q782" s="3">
        <f t="shared" si="1"/>
        <v>0</v>
      </c>
      <c r="R782" s="3">
        <f t="shared" si="2"/>
        <v>58.3333333333333</v>
      </c>
      <c r="S782" s="11">
        <f>AVERAGE(Q782:Q785)</f>
        <v>1</v>
      </c>
      <c r="T782" s="7">
        <f>AVERAGE(R782:R785)</f>
        <v>56.0833333333333</v>
      </c>
      <c r="U782" s="8">
        <f>(L782+L783+L784+L785+O782+O783+O784+O785)/(K782+K783+K784+K785)*100</f>
        <v>56</v>
      </c>
    </row>
    <row r="783" ht="13.5" customHeight="1" spans="1:19">
      <c r="A783" s="4" t="s">
        <v>47</v>
      </c>
      <c r="B783" s="3">
        <v>1504</v>
      </c>
      <c r="C783" s="3">
        <v>9859</v>
      </c>
      <c r="D783" s="3">
        <v>0.1</v>
      </c>
      <c r="E783" s="4" t="s">
        <v>28</v>
      </c>
      <c r="F783" s="4" t="s">
        <v>72</v>
      </c>
      <c r="G783" s="3" t="s">
        <v>73</v>
      </c>
      <c r="H783" s="4" t="s">
        <v>40</v>
      </c>
      <c r="I783" s="4" t="s">
        <v>156</v>
      </c>
      <c r="J783" s="3">
        <v>2</v>
      </c>
      <c r="K783" s="3">
        <v>25</v>
      </c>
      <c r="L783" s="3">
        <v>0</v>
      </c>
      <c r="M783" s="3">
        <v>12</v>
      </c>
      <c r="N783" s="3">
        <v>1</v>
      </c>
      <c r="O783" s="3">
        <v>12</v>
      </c>
      <c r="P783" s="3">
        <f t="shared" si="0"/>
        <v>0</v>
      </c>
      <c r="Q783" s="3">
        <f t="shared" si="1"/>
        <v>0</v>
      </c>
      <c r="R783" s="3">
        <f t="shared" si="2"/>
        <v>50</v>
      </c>
      <c r="S783" s="11"/>
    </row>
    <row r="784" ht="13.5" customHeight="1" spans="1:19">
      <c r="A784" s="4" t="s">
        <v>47</v>
      </c>
      <c r="B784" s="3">
        <v>1504</v>
      </c>
      <c r="C784" s="3">
        <v>9859</v>
      </c>
      <c r="D784" s="3">
        <v>0.1</v>
      </c>
      <c r="E784" s="4" t="s">
        <v>28</v>
      </c>
      <c r="F784" s="4" t="s">
        <v>72</v>
      </c>
      <c r="G784" s="3" t="s">
        <v>73</v>
      </c>
      <c r="H784" s="4" t="s">
        <v>40</v>
      </c>
      <c r="I784" s="4" t="s">
        <v>156</v>
      </c>
      <c r="J784" s="3">
        <v>3</v>
      </c>
      <c r="K784" s="3">
        <v>25</v>
      </c>
      <c r="L784" s="3">
        <v>1</v>
      </c>
      <c r="M784" s="3">
        <v>7</v>
      </c>
      <c r="N784" s="3">
        <v>0</v>
      </c>
      <c r="O784" s="3">
        <v>17</v>
      </c>
      <c r="P784" s="3">
        <f t="shared" si="0"/>
        <v>0</v>
      </c>
      <c r="Q784" s="3">
        <f t="shared" si="1"/>
        <v>4</v>
      </c>
      <c r="R784" s="3">
        <f t="shared" si="2"/>
        <v>68</v>
      </c>
      <c r="S784" s="11"/>
    </row>
    <row r="785" ht="13.5" customHeight="1" spans="1:19">
      <c r="A785" s="4" t="s">
        <v>47</v>
      </c>
      <c r="B785" s="3">
        <v>1504</v>
      </c>
      <c r="C785" s="3">
        <v>9859</v>
      </c>
      <c r="D785" s="3">
        <v>0.1</v>
      </c>
      <c r="E785" s="4" t="s">
        <v>28</v>
      </c>
      <c r="F785" s="4" t="s">
        <v>72</v>
      </c>
      <c r="G785" s="3" t="s">
        <v>73</v>
      </c>
      <c r="H785" s="4" t="s">
        <v>40</v>
      </c>
      <c r="I785" s="4" t="s">
        <v>156</v>
      </c>
      <c r="J785" s="3">
        <v>4</v>
      </c>
      <c r="K785" s="3">
        <v>25</v>
      </c>
      <c r="L785" s="3">
        <v>0</v>
      </c>
      <c r="M785" s="3">
        <v>13</v>
      </c>
      <c r="N785" s="3">
        <v>0</v>
      </c>
      <c r="O785" s="3">
        <v>12</v>
      </c>
      <c r="P785" s="3">
        <f t="shared" si="0"/>
        <v>0</v>
      </c>
      <c r="Q785" s="3">
        <f t="shared" si="1"/>
        <v>0</v>
      </c>
      <c r="R785" s="3">
        <f t="shared" si="2"/>
        <v>48</v>
      </c>
      <c r="S785" s="11"/>
    </row>
    <row r="786" ht="13.5" customHeight="1" spans="1:21">
      <c r="A786" s="4" t="s">
        <v>57</v>
      </c>
      <c r="B786" s="3">
        <v>1847</v>
      </c>
      <c r="C786" s="3">
        <v>10763</v>
      </c>
      <c r="D786" s="3">
        <v>0.1</v>
      </c>
      <c r="E786" s="4" t="s">
        <v>52</v>
      </c>
      <c r="F786" s="4" t="s">
        <v>82</v>
      </c>
      <c r="G786" s="3" t="s">
        <v>83</v>
      </c>
      <c r="H786" s="4" t="s">
        <v>25</v>
      </c>
      <c r="I786" s="4" t="s">
        <v>156</v>
      </c>
      <c r="J786" s="3">
        <v>1</v>
      </c>
      <c r="K786" s="3">
        <v>25</v>
      </c>
      <c r="L786" s="3">
        <v>6</v>
      </c>
      <c r="M786" s="3">
        <v>7</v>
      </c>
      <c r="N786" s="3">
        <v>7</v>
      </c>
      <c r="O786" s="3">
        <v>5</v>
      </c>
      <c r="P786" s="3">
        <f t="shared" si="0"/>
        <v>0</v>
      </c>
      <c r="Q786" s="3">
        <f t="shared" si="1"/>
        <v>33.3333333333333</v>
      </c>
      <c r="R786" s="3">
        <f t="shared" si="2"/>
        <v>27.7777777777778</v>
      </c>
      <c r="S786" s="11">
        <f>AVERAGE(Q786:Q789)</f>
        <v>22.4122807017544</v>
      </c>
      <c r="T786" s="7">
        <f>AVERAGE(R786:R789)</f>
        <v>23.3918128654971</v>
      </c>
      <c r="U786" s="8">
        <f>(L786+L787+L788+L789+O786+O787+O788+O789)/(K786+K787+K788+K789)*100</f>
        <v>33</v>
      </c>
    </row>
    <row r="787" ht="13.5" customHeight="1" spans="1:19">
      <c r="A787" s="4" t="s">
        <v>57</v>
      </c>
      <c r="B787" s="3">
        <v>1847</v>
      </c>
      <c r="C787" s="3">
        <v>10763</v>
      </c>
      <c r="D787" s="3">
        <v>0.1</v>
      </c>
      <c r="E787" s="4" t="s">
        <v>52</v>
      </c>
      <c r="F787" s="4" t="s">
        <v>82</v>
      </c>
      <c r="G787" s="3" t="s">
        <v>83</v>
      </c>
      <c r="H787" s="4" t="s">
        <v>25</v>
      </c>
      <c r="I787" s="4" t="s">
        <v>156</v>
      </c>
      <c r="J787" s="3">
        <v>2</v>
      </c>
      <c r="K787" s="3">
        <v>25</v>
      </c>
      <c r="L787" s="3">
        <v>3</v>
      </c>
      <c r="M787" s="3">
        <v>9</v>
      </c>
      <c r="N787" s="3">
        <v>10</v>
      </c>
      <c r="O787" s="3">
        <v>3</v>
      </c>
      <c r="P787" s="3">
        <f t="shared" si="0"/>
        <v>0</v>
      </c>
      <c r="Q787" s="3">
        <f t="shared" si="1"/>
        <v>20</v>
      </c>
      <c r="R787" s="3">
        <f t="shared" si="2"/>
        <v>20</v>
      </c>
      <c r="S787" s="11"/>
    </row>
    <row r="788" ht="13.5" customHeight="1" spans="1:19">
      <c r="A788" s="4" t="s">
        <v>57</v>
      </c>
      <c r="B788" s="3">
        <v>1847</v>
      </c>
      <c r="C788" s="3">
        <v>10763</v>
      </c>
      <c r="D788" s="3">
        <v>0.1</v>
      </c>
      <c r="E788" s="4" t="s">
        <v>52</v>
      </c>
      <c r="F788" s="4" t="s">
        <v>82</v>
      </c>
      <c r="G788" s="3" t="s">
        <v>83</v>
      </c>
      <c r="H788" s="4" t="s">
        <v>25</v>
      </c>
      <c r="I788" s="4" t="s">
        <v>156</v>
      </c>
      <c r="J788" s="3">
        <v>3</v>
      </c>
      <c r="K788" s="3">
        <v>25</v>
      </c>
      <c r="L788" s="3">
        <v>5</v>
      </c>
      <c r="M788" s="3">
        <v>11</v>
      </c>
      <c r="N788" s="3">
        <v>6</v>
      </c>
      <c r="O788" s="3">
        <v>3</v>
      </c>
      <c r="P788" s="3">
        <f t="shared" si="0"/>
        <v>0</v>
      </c>
      <c r="Q788" s="3">
        <f t="shared" si="1"/>
        <v>26.3157894736842</v>
      </c>
      <c r="R788" s="3">
        <f t="shared" si="2"/>
        <v>15.7894736842105</v>
      </c>
      <c r="S788" s="11"/>
    </row>
    <row r="789" ht="13.5" customHeight="1" spans="1:19">
      <c r="A789" s="4" t="s">
        <v>57</v>
      </c>
      <c r="B789" s="3">
        <v>1847</v>
      </c>
      <c r="C789" s="3">
        <v>10763</v>
      </c>
      <c r="D789" s="3">
        <v>0.1</v>
      </c>
      <c r="E789" s="4" t="s">
        <v>52</v>
      </c>
      <c r="F789" s="4" t="s">
        <v>82</v>
      </c>
      <c r="G789" s="3" t="s">
        <v>83</v>
      </c>
      <c r="H789" s="4" t="s">
        <v>25</v>
      </c>
      <c r="I789" s="4" t="s">
        <v>156</v>
      </c>
      <c r="J789" s="3">
        <v>4</v>
      </c>
      <c r="K789" s="3">
        <v>25</v>
      </c>
      <c r="L789" s="3">
        <v>2</v>
      </c>
      <c r="M789" s="3">
        <v>12</v>
      </c>
      <c r="N789" s="3">
        <v>5</v>
      </c>
      <c r="O789" s="3">
        <v>6</v>
      </c>
      <c r="P789" s="3">
        <f t="shared" si="0"/>
        <v>0</v>
      </c>
      <c r="Q789" s="3">
        <f t="shared" si="1"/>
        <v>10</v>
      </c>
      <c r="R789" s="3">
        <f t="shared" si="2"/>
        <v>30</v>
      </c>
      <c r="S789" s="11"/>
    </row>
    <row r="790" ht="13.5" customHeight="1" spans="1:21">
      <c r="A790" s="4" t="s">
        <v>93</v>
      </c>
      <c r="B790" s="3">
        <v>1661</v>
      </c>
      <c r="C790" s="3">
        <v>10216</v>
      </c>
      <c r="D790" s="3">
        <v>0.1</v>
      </c>
      <c r="E790" s="4" t="s">
        <v>28</v>
      </c>
      <c r="F790" s="4" t="s">
        <v>72</v>
      </c>
      <c r="G790" s="3" t="s">
        <v>73</v>
      </c>
      <c r="H790" s="4" t="s">
        <v>40</v>
      </c>
      <c r="I790" s="4" t="s">
        <v>156</v>
      </c>
      <c r="J790" s="3">
        <v>1</v>
      </c>
      <c r="K790" s="3">
        <v>25</v>
      </c>
      <c r="L790" s="3">
        <v>0</v>
      </c>
      <c r="M790" s="3">
        <v>1</v>
      </c>
      <c r="N790" s="3">
        <v>0</v>
      </c>
      <c r="O790" s="3">
        <v>24</v>
      </c>
      <c r="P790" s="3">
        <f t="shared" si="0"/>
        <v>0</v>
      </c>
      <c r="Q790" s="3">
        <f t="shared" si="1"/>
        <v>0</v>
      </c>
      <c r="R790" s="3">
        <f t="shared" si="2"/>
        <v>96</v>
      </c>
      <c r="S790" s="11">
        <f>AVERAGE(Q790:Q793)</f>
        <v>0</v>
      </c>
      <c r="T790" s="7">
        <f>AVERAGE(R790:R793)</f>
        <v>95</v>
      </c>
      <c r="U790" s="8">
        <f>(L790+L791+L792+L793+O790+O791+O792+O793)/(K790+K791+K792+K793)*100</f>
        <v>95</v>
      </c>
    </row>
    <row r="791" ht="13.5" customHeight="1" spans="1:19">
      <c r="A791" s="4" t="s">
        <v>93</v>
      </c>
      <c r="B791" s="3">
        <v>1661</v>
      </c>
      <c r="C791" s="3">
        <v>10216</v>
      </c>
      <c r="D791" s="3">
        <v>0.1</v>
      </c>
      <c r="E791" s="4" t="s">
        <v>28</v>
      </c>
      <c r="F791" s="4" t="s">
        <v>72</v>
      </c>
      <c r="G791" s="3" t="s">
        <v>73</v>
      </c>
      <c r="H791" s="4" t="s">
        <v>40</v>
      </c>
      <c r="I791" s="4" t="s">
        <v>156</v>
      </c>
      <c r="J791" s="3">
        <v>2</v>
      </c>
      <c r="K791" s="3">
        <v>25</v>
      </c>
      <c r="L791" s="3">
        <v>0</v>
      </c>
      <c r="M791" s="3">
        <v>2</v>
      </c>
      <c r="N791" s="3">
        <v>0</v>
      </c>
      <c r="O791" s="3">
        <v>23</v>
      </c>
      <c r="P791" s="3">
        <f t="shared" si="0"/>
        <v>0</v>
      </c>
      <c r="Q791" s="3">
        <f t="shared" si="1"/>
        <v>0</v>
      </c>
      <c r="R791" s="3">
        <f t="shared" si="2"/>
        <v>92</v>
      </c>
      <c r="S791" s="11"/>
    </row>
    <row r="792" ht="13.5" customHeight="1" spans="1:19">
      <c r="A792" s="4" t="s">
        <v>93</v>
      </c>
      <c r="B792" s="3">
        <v>1661</v>
      </c>
      <c r="C792" s="3">
        <v>10216</v>
      </c>
      <c r="D792" s="3">
        <v>0.1</v>
      </c>
      <c r="E792" s="4" t="s">
        <v>28</v>
      </c>
      <c r="F792" s="4" t="s">
        <v>72</v>
      </c>
      <c r="G792" s="3" t="s">
        <v>73</v>
      </c>
      <c r="H792" s="4" t="s">
        <v>40</v>
      </c>
      <c r="I792" s="4" t="s">
        <v>156</v>
      </c>
      <c r="J792" s="3">
        <v>3</v>
      </c>
      <c r="K792" s="3">
        <v>25</v>
      </c>
      <c r="L792" s="3">
        <v>0</v>
      </c>
      <c r="M792" s="3">
        <v>0</v>
      </c>
      <c r="N792" s="3">
        <v>0</v>
      </c>
      <c r="O792" s="3">
        <v>25</v>
      </c>
      <c r="P792" s="3">
        <f t="shared" si="0"/>
        <v>0</v>
      </c>
      <c r="Q792" s="3">
        <f t="shared" si="1"/>
        <v>0</v>
      </c>
      <c r="R792" s="3">
        <f t="shared" si="2"/>
        <v>100</v>
      </c>
      <c r="S792" s="11"/>
    </row>
    <row r="793" ht="13.5" customHeight="1" spans="1:19">
      <c r="A793" s="4" t="s">
        <v>93</v>
      </c>
      <c r="B793" s="3">
        <v>1661</v>
      </c>
      <c r="C793" s="3">
        <v>10216</v>
      </c>
      <c r="D793" s="3">
        <v>0.1</v>
      </c>
      <c r="E793" s="4" t="s">
        <v>28</v>
      </c>
      <c r="F793" s="4" t="s">
        <v>72</v>
      </c>
      <c r="G793" s="3" t="s">
        <v>73</v>
      </c>
      <c r="H793" s="4" t="s">
        <v>40</v>
      </c>
      <c r="I793" s="4" t="s">
        <v>156</v>
      </c>
      <c r="J793" s="3">
        <v>4</v>
      </c>
      <c r="K793" s="3">
        <v>25</v>
      </c>
      <c r="L793" s="3">
        <v>0</v>
      </c>
      <c r="M793" s="3">
        <v>2</v>
      </c>
      <c r="N793" s="3">
        <v>0</v>
      </c>
      <c r="O793" s="3">
        <v>23</v>
      </c>
      <c r="P793" s="3">
        <f t="shared" si="0"/>
        <v>0</v>
      </c>
      <c r="Q793" s="3">
        <f t="shared" si="1"/>
        <v>0</v>
      </c>
      <c r="R793" s="3">
        <f t="shared" si="2"/>
        <v>92</v>
      </c>
      <c r="S793" s="11"/>
    </row>
    <row r="794" ht="13.5" customHeight="1" spans="1:21">
      <c r="A794" s="4" t="s">
        <v>36</v>
      </c>
      <c r="B794" s="3">
        <v>1294</v>
      </c>
      <c r="C794" s="3">
        <v>8842</v>
      </c>
      <c r="D794" s="3">
        <v>0.1</v>
      </c>
      <c r="E794" s="4" t="s">
        <v>28</v>
      </c>
      <c r="F794" s="4" t="s">
        <v>72</v>
      </c>
      <c r="G794" s="3" t="s">
        <v>73</v>
      </c>
      <c r="H794" s="4" t="s">
        <v>40</v>
      </c>
      <c r="I794" s="4" t="s">
        <v>156</v>
      </c>
      <c r="J794" s="3">
        <v>1</v>
      </c>
      <c r="K794" s="3">
        <v>25</v>
      </c>
      <c r="L794" s="3">
        <v>0</v>
      </c>
      <c r="M794" s="3">
        <v>0</v>
      </c>
      <c r="N794" s="3">
        <v>1</v>
      </c>
      <c r="O794" s="3">
        <v>24</v>
      </c>
      <c r="P794" s="3">
        <f t="shared" si="0"/>
        <v>0</v>
      </c>
      <c r="Q794" s="3">
        <f t="shared" si="1"/>
        <v>0</v>
      </c>
      <c r="R794" s="3">
        <f t="shared" si="2"/>
        <v>100</v>
      </c>
      <c r="S794" s="11">
        <f>AVERAGE(Q794:Q797)</f>
        <v>1</v>
      </c>
      <c r="T794" s="7">
        <f>AVERAGE(R794:R797)</f>
        <v>90.6557971014493</v>
      </c>
      <c r="U794" s="8">
        <f>(L794+L795+L796+L797+O794+O795+O796+O797)/(K794+K795+K796+K797)*100</f>
        <v>88</v>
      </c>
    </row>
    <row r="795" ht="13.5" customHeight="1" spans="1:19">
      <c r="A795" s="4" t="s">
        <v>36</v>
      </c>
      <c r="B795" s="3">
        <v>1294</v>
      </c>
      <c r="C795" s="3">
        <v>8842</v>
      </c>
      <c r="D795" s="3">
        <v>0.1</v>
      </c>
      <c r="E795" s="4" t="s">
        <v>28</v>
      </c>
      <c r="F795" s="4" t="s">
        <v>72</v>
      </c>
      <c r="G795" s="3" t="s">
        <v>73</v>
      </c>
      <c r="H795" s="4" t="s">
        <v>40</v>
      </c>
      <c r="I795" s="4" t="s">
        <v>156</v>
      </c>
      <c r="J795" s="3">
        <v>2</v>
      </c>
      <c r="K795" s="3">
        <v>25</v>
      </c>
      <c r="L795" s="3">
        <v>0</v>
      </c>
      <c r="M795" s="3">
        <v>3</v>
      </c>
      <c r="N795" s="3">
        <v>2</v>
      </c>
      <c r="O795" s="3">
        <v>20</v>
      </c>
      <c r="P795" s="3">
        <f t="shared" si="0"/>
        <v>0</v>
      </c>
      <c r="Q795" s="3">
        <f t="shared" si="1"/>
        <v>0</v>
      </c>
      <c r="R795" s="3">
        <f t="shared" si="2"/>
        <v>86.9565217391304</v>
      </c>
      <c r="S795" s="11"/>
    </row>
    <row r="796" ht="13.5" customHeight="1" spans="1:19">
      <c r="A796" s="4" t="s">
        <v>36</v>
      </c>
      <c r="B796" s="3">
        <v>1294</v>
      </c>
      <c r="C796" s="3">
        <v>8842</v>
      </c>
      <c r="D796" s="3">
        <v>0.1</v>
      </c>
      <c r="E796" s="4" t="s">
        <v>28</v>
      </c>
      <c r="F796" s="4" t="s">
        <v>72</v>
      </c>
      <c r="G796" s="3" t="s">
        <v>73</v>
      </c>
      <c r="H796" s="4" t="s">
        <v>40</v>
      </c>
      <c r="I796" s="4" t="s">
        <v>156</v>
      </c>
      <c r="J796" s="3">
        <v>3</v>
      </c>
      <c r="K796" s="3">
        <v>25</v>
      </c>
      <c r="L796" s="3">
        <v>0</v>
      </c>
      <c r="M796" s="3">
        <v>2</v>
      </c>
      <c r="N796" s="3">
        <v>1</v>
      </c>
      <c r="O796" s="3">
        <v>22</v>
      </c>
      <c r="P796" s="3">
        <f t="shared" si="0"/>
        <v>0</v>
      </c>
      <c r="Q796" s="3">
        <f t="shared" si="1"/>
        <v>0</v>
      </c>
      <c r="R796" s="3">
        <f t="shared" si="2"/>
        <v>91.6666666666667</v>
      </c>
      <c r="S796" s="11"/>
    </row>
    <row r="797" ht="13.5" customHeight="1" spans="1:19">
      <c r="A797" s="4" t="s">
        <v>36</v>
      </c>
      <c r="B797" s="3">
        <v>1294</v>
      </c>
      <c r="C797" s="3">
        <v>8842</v>
      </c>
      <c r="D797" s="3">
        <v>0.1</v>
      </c>
      <c r="E797" s="4" t="s">
        <v>28</v>
      </c>
      <c r="F797" s="4" t="s">
        <v>72</v>
      </c>
      <c r="G797" s="3" t="s">
        <v>73</v>
      </c>
      <c r="H797" s="4" t="s">
        <v>40</v>
      </c>
      <c r="I797" s="4" t="s">
        <v>156</v>
      </c>
      <c r="J797" s="3">
        <v>4</v>
      </c>
      <c r="K797" s="3">
        <v>25</v>
      </c>
      <c r="L797" s="3">
        <v>1</v>
      </c>
      <c r="M797" s="3">
        <v>3</v>
      </c>
      <c r="N797" s="3">
        <v>0</v>
      </c>
      <c r="O797" s="3">
        <v>21</v>
      </c>
      <c r="P797" s="3">
        <f t="shared" si="0"/>
        <v>0</v>
      </c>
      <c r="Q797" s="3">
        <f t="shared" si="1"/>
        <v>4</v>
      </c>
      <c r="R797" s="3">
        <f t="shared" si="2"/>
        <v>84</v>
      </c>
      <c r="S797" s="11"/>
    </row>
    <row r="798" ht="13.5" customHeight="1" spans="1:21">
      <c r="A798" s="4" t="s">
        <v>32</v>
      </c>
      <c r="B798" s="3">
        <v>1342</v>
      </c>
      <c r="C798" s="3">
        <v>9074</v>
      </c>
      <c r="D798" s="3">
        <v>0.1</v>
      </c>
      <c r="E798" s="4" t="s">
        <v>74</v>
      </c>
      <c r="F798" s="4" t="s">
        <v>75</v>
      </c>
      <c r="G798" s="4" t="s">
        <v>76</v>
      </c>
      <c r="H798" s="4" t="s">
        <v>40</v>
      </c>
      <c r="I798" s="4" t="s">
        <v>156</v>
      </c>
      <c r="J798" s="3">
        <v>1</v>
      </c>
      <c r="K798" s="3">
        <v>25</v>
      </c>
      <c r="L798" s="3">
        <v>8</v>
      </c>
      <c r="M798" s="3">
        <v>0</v>
      </c>
      <c r="N798" s="3">
        <v>14</v>
      </c>
      <c r="O798" s="3">
        <v>3</v>
      </c>
      <c r="P798" s="3">
        <f t="shared" si="0"/>
        <v>0</v>
      </c>
      <c r="Q798" s="3">
        <f t="shared" si="1"/>
        <v>72.7272727272727</v>
      </c>
      <c r="R798" s="3">
        <f t="shared" si="2"/>
        <v>27.2727272727273</v>
      </c>
      <c r="S798" s="11">
        <f>AVERAGE(Q798:Q801)</f>
        <v>52.9612299465241</v>
      </c>
      <c r="T798" s="7">
        <f>AVERAGE(R798:R801)</f>
        <v>27.774064171123</v>
      </c>
      <c r="U798" s="8">
        <f>(L798+L799+L800+L801+O798+O799+O800+O801)/(K798+K799+K800+K801)*100</f>
        <v>51</v>
      </c>
    </row>
    <row r="799" ht="13.5" customHeight="1" spans="1:19">
      <c r="A799" s="4" t="s">
        <v>32</v>
      </c>
      <c r="B799" s="3">
        <v>1342</v>
      </c>
      <c r="C799" s="3">
        <v>9074</v>
      </c>
      <c r="D799" s="3">
        <v>0.1</v>
      </c>
      <c r="E799" s="4" t="s">
        <v>74</v>
      </c>
      <c r="F799" s="4" t="s">
        <v>75</v>
      </c>
      <c r="G799" s="4" t="s">
        <v>76</v>
      </c>
      <c r="H799" s="4" t="s">
        <v>40</v>
      </c>
      <c r="I799" s="4" t="s">
        <v>156</v>
      </c>
      <c r="J799" s="3">
        <v>2</v>
      </c>
      <c r="K799" s="3">
        <v>25</v>
      </c>
      <c r="L799" s="3">
        <v>7</v>
      </c>
      <c r="M799" s="3">
        <v>4</v>
      </c>
      <c r="N799" s="3">
        <v>8</v>
      </c>
      <c r="O799" s="3">
        <v>6</v>
      </c>
      <c r="P799" s="3">
        <f t="shared" si="0"/>
        <v>0</v>
      </c>
      <c r="Q799" s="3">
        <f t="shared" si="1"/>
        <v>41.1764705882353</v>
      </c>
      <c r="R799" s="3">
        <f t="shared" si="2"/>
        <v>35.2941176470588</v>
      </c>
      <c r="S799" s="11"/>
    </row>
    <row r="800" ht="13.5" customHeight="1" spans="1:19">
      <c r="A800" s="4" t="s">
        <v>32</v>
      </c>
      <c r="B800" s="3">
        <v>1342</v>
      </c>
      <c r="C800" s="3">
        <v>9074</v>
      </c>
      <c r="D800" s="3">
        <v>0.1</v>
      </c>
      <c r="E800" s="4" t="s">
        <v>74</v>
      </c>
      <c r="F800" s="4" t="s">
        <v>75</v>
      </c>
      <c r="G800" s="4" t="s">
        <v>76</v>
      </c>
      <c r="H800" s="4" t="s">
        <v>40</v>
      </c>
      <c r="I800" s="4" t="s">
        <v>156</v>
      </c>
      <c r="J800" s="3">
        <v>3</v>
      </c>
      <c r="K800" s="3">
        <v>25</v>
      </c>
      <c r="L800" s="3">
        <v>9</v>
      </c>
      <c r="M800" s="3">
        <v>4</v>
      </c>
      <c r="N800" s="3">
        <v>8</v>
      </c>
      <c r="O800" s="3">
        <v>4</v>
      </c>
      <c r="P800" s="3">
        <f t="shared" si="0"/>
        <v>0</v>
      </c>
      <c r="Q800" s="3">
        <f t="shared" si="1"/>
        <v>52.9411764705882</v>
      </c>
      <c r="R800" s="3">
        <f t="shared" si="2"/>
        <v>23.5294117647059</v>
      </c>
      <c r="S800" s="11"/>
    </row>
    <row r="801" ht="13.5" customHeight="1" spans="1:19">
      <c r="A801" s="4" t="s">
        <v>32</v>
      </c>
      <c r="B801" s="3">
        <v>1342</v>
      </c>
      <c r="C801" s="3">
        <v>9074</v>
      </c>
      <c r="D801" s="3">
        <v>0.1</v>
      </c>
      <c r="E801" s="4" t="s">
        <v>74</v>
      </c>
      <c r="F801" s="4" t="s">
        <v>75</v>
      </c>
      <c r="G801" s="4" t="s">
        <v>76</v>
      </c>
      <c r="H801" s="4" t="s">
        <v>40</v>
      </c>
      <c r="I801" s="4" t="s">
        <v>156</v>
      </c>
      <c r="J801" s="3">
        <v>4</v>
      </c>
      <c r="K801" s="3">
        <v>25</v>
      </c>
      <c r="L801" s="3">
        <v>9</v>
      </c>
      <c r="M801" s="3">
        <v>6</v>
      </c>
      <c r="N801" s="3">
        <v>5</v>
      </c>
      <c r="O801" s="3">
        <v>5</v>
      </c>
      <c r="P801" s="3">
        <f t="shared" si="0"/>
        <v>0</v>
      </c>
      <c r="Q801" s="3">
        <f t="shared" si="1"/>
        <v>45</v>
      </c>
      <c r="R801" s="3">
        <f t="shared" si="2"/>
        <v>25</v>
      </c>
      <c r="S801" s="11"/>
    </row>
    <row r="802" ht="13.5" customHeight="1" spans="1:21">
      <c r="A802" s="4" t="s">
        <v>93</v>
      </c>
      <c r="B802" s="3">
        <v>1661</v>
      </c>
      <c r="C802" s="3">
        <v>10216</v>
      </c>
      <c r="D802" s="3">
        <v>0.1</v>
      </c>
      <c r="E802" s="4" t="s">
        <v>74</v>
      </c>
      <c r="F802" s="4" t="s">
        <v>75</v>
      </c>
      <c r="G802" s="4" t="s">
        <v>76</v>
      </c>
      <c r="H802" s="4" t="s">
        <v>40</v>
      </c>
      <c r="I802" s="4" t="s">
        <v>156</v>
      </c>
      <c r="J802" s="3">
        <v>1</v>
      </c>
      <c r="K802" s="3">
        <v>25</v>
      </c>
      <c r="L802" s="3">
        <v>21</v>
      </c>
      <c r="M802" s="3">
        <v>1</v>
      </c>
      <c r="N802" s="3">
        <v>0</v>
      </c>
      <c r="O802" s="3">
        <v>3</v>
      </c>
      <c r="P802" s="3">
        <f t="shared" si="0"/>
        <v>0</v>
      </c>
      <c r="Q802" s="3">
        <f t="shared" si="1"/>
        <v>84</v>
      </c>
      <c r="R802" s="3">
        <f t="shared" si="2"/>
        <v>12</v>
      </c>
      <c r="S802" s="11">
        <f>AVERAGE(Q802:Q805)</f>
        <v>82</v>
      </c>
      <c r="T802" s="7">
        <f>AVERAGE(R802:R805)</f>
        <v>15</v>
      </c>
      <c r="U802" s="8">
        <f>(L802+L803+L804+L805+O802+O803+O804+O805)/(K802+K803+K804+K805)*100</f>
        <v>97</v>
      </c>
    </row>
    <row r="803" ht="13.5" customHeight="1" spans="1:19">
      <c r="A803" s="4" t="s">
        <v>93</v>
      </c>
      <c r="B803" s="3">
        <v>1661</v>
      </c>
      <c r="C803" s="3">
        <v>10216</v>
      </c>
      <c r="D803" s="3">
        <v>0.1</v>
      </c>
      <c r="E803" s="4" t="s">
        <v>74</v>
      </c>
      <c r="F803" s="4" t="s">
        <v>75</v>
      </c>
      <c r="G803" s="4" t="s">
        <v>76</v>
      </c>
      <c r="H803" s="4" t="s">
        <v>40</v>
      </c>
      <c r="I803" s="4" t="s">
        <v>156</v>
      </c>
      <c r="J803" s="3">
        <v>2</v>
      </c>
      <c r="K803" s="3">
        <v>25</v>
      </c>
      <c r="L803" s="3">
        <v>18</v>
      </c>
      <c r="M803" s="3">
        <v>2</v>
      </c>
      <c r="N803" s="3">
        <v>0</v>
      </c>
      <c r="O803" s="3">
        <v>5</v>
      </c>
      <c r="P803" s="3">
        <f t="shared" si="0"/>
        <v>0</v>
      </c>
      <c r="Q803" s="3">
        <f t="shared" si="1"/>
        <v>72</v>
      </c>
      <c r="R803" s="3">
        <f t="shared" si="2"/>
        <v>20</v>
      </c>
      <c r="S803" s="11"/>
    </row>
    <row r="804" ht="13.5" customHeight="1" spans="1:19">
      <c r="A804" s="4" t="s">
        <v>93</v>
      </c>
      <c r="B804" s="3">
        <v>1661</v>
      </c>
      <c r="C804" s="3">
        <v>10216</v>
      </c>
      <c r="D804" s="3">
        <v>0.1</v>
      </c>
      <c r="E804" s="4" t="s">
        <v>74</v>
      </c>
      <c r="F804" s="4" t="s">
        <v>75</v>
      </c>
      <c r="G804" s="4" t="s">
        <v>76</v>
      </c>
      <c r="H804" s="4" t="s">
        <v>40</v>
      </c>
      <c r="I804" s="4" t="s">
        <v>156</v>
      </c>
      <c r="J804" s="3">
        <v>3</v>
      </c>
      <c r="K804" s="3">
        <v>25</v>
      </c>
      <c r="L804" s="3">
        <v>21</v>
      </c>
      <c r="M804" s="3">
        <v>0</v>
      </c>
      <c r="N804" s="3">
        <v>0</v>
      </c>
      <c r="O804" s="3">
        <v>4</v>
      </c>
      <c r="P804" s="3">
        <f t="shared" si="0"/>
        <v>0</v>
      </c>
      <c r="Q804" s="3">
        <f t="shared" si="1"/>
        <v>84</v>
      </c>
      <c r="R804" s="3">
        <f t="shared" si="2"/>
        <v>16</v>
      </c>
      <c r="S804" s="11"/>
    </row>
    <row r="805" ht="13.5" customHeight="1" spans="1:19">
      <c r="A805" s="4" t="s">
        <v>93</v>
      </c>
      <c r="B805" s="3">
        <v>1661</v>
      </c>
      <c r="C805" s="3">
        <v>10216</v>
      </c>
      <c r="D805" s="3">
        <v>0.1</v>
      </c>
      <c r="E805" s="4" t="s">
        <v>74</v>
      </c>
      <c r="F805" s="4" t="s">
        <v>75</v>
      </c>
      <c r="G805" s="4" t="s">
        <v>76</v>
      </c>
      <c r="H805" s="4" t="s">
        <v>40</v>
      </c>
      <c r="I805" s="4" t="s">
        <v>156</v>
      </c>
      <c r="J805" s="3">
        <v>4</v>
      </c>
      <c r="K805" s="3">
        <v>25</v>
      </c>
      <c r="L805" s="3">
        <v>22</v>
      </c>
      <c r="M805" s="3">
        <v>0</v>
      </c>
      <c r="N805" s="3">
        <v>0</v>
      </c>
      <c r="O805" s="3">
        <v>3</v>
      </c>
      <c r="P805" s="3">
        <f t="shared" si="0"/>
        <v>0</v>
      </c>
      <c r="Q805" s="3">
        <f t="shared" si="1"/>
        <v>88</v>
      </c>
      <c r="R805" s="3">
        <f t="shared" si="2"/>
        <v>12</v>
      </c>
      <c r="S805" s="11"/>
    </row>
    <row r="806" ht="13.5" customHeight="1" spans="1:21">
      <c r="A806" s="4" t="s">
        <v>93</v>
      </c>
      <c r="B806" s="3">
        <v>1661</v>
      </c>
      <c r="C806" s="3">
        <v>10216</v>
      </c>
      <c r="D806" s="3">
        <v>0.1</v>
      </c>
      <c r="E806" s="4" t="s">
        <v>28</v>
      </c>
      <c r="F806" s="4" t="s">
        <v>70</v>
      </c>
      <c r="G806" s="4" t="s">
        <v>79</v>
      </c>
      <c r="H806" s="4" t="s">
        <v>40</v>
      </c>
      <c r="I806" s="4" t="s">
        <v>156</v>
      </c>
      <c r="J806" s="3">
        <v>1</v>
      </c>
      <c r="K806" s="3">
        <v>25</v>
      </c>
      <c r="L806" s="3">
        <v>0</v>
      </c>
      <c r="M806" s="3">
        <v>6</v>
      </c>
      <c r="N806" s="3">
        <v>0</v>
      </c>
      <c r="O806" s="3">
        <v>19</v>
      </c>
      <c r="P806" s="3">
        <f t="shared" si="0"/>
        <v>0</v>
      </c>
      <c r="Q806" s="3">
        <f t="shared" si="1"/>
        <v>0</v>
      </c>
      <c r="R806" s="3">
        <f t="shared" si="2"/>
        <v>76</v>
      </c>
      <c r="S806" s="11">
        <f>AVERAGE(Q806:Q809)</f>
        <v>0</v>
      </c>
      <c r="T806" s="7">
        <f>AVERAGE(R806:R809)</f>
        <v>74.625</v>
      </c>
      <c r="U806" s="8">
        <f>(L806+L807+L808+L809+O806+O807+O808+O809)/(K806+K807+K808+K809)*100</f>
        <v>70</v>
      </c>
    </row>
    <row r="807" ht="13.5" customHeight="1" spans="1:19">
      <c r="A807" s="4" t="s">
        <v>93</v>
      </c>
      <c r="B807" s="3">
        <v>1661</v>
      </c>
      <c r="C807" s="3">
        <v>10216</v>
      </c>
      <c r="D807" s="3">
        <v>0.1</v>
      </c>
      <c r="E807" s="4" t="s">
        <v>28</v>
      </c>
      <c r="F807" s="4" t="s">
        <v>70</v>
      </c>
      <c r="G807" s="4" t="s">
        <v>79</v>
      </c>
      <c r="H807" s="4" t="s">
        <v>40</v>
      </c>
      <c r="I807" s="4" t="s">
        <v>156</v>
      </c>
      <c r="J807" s="3">
        <v>2</v>
      </c>
      <c r="K807" s="3">
        <v>25</v>
      </c>
      <c r="L807" s="3">
        <v>0</v>
      </c>
      <c r="M807" s="3">
        <v>9</v>
      </c>
      <c r="N807" s="3">
        <v>1</v>
      </c>
      <c r="O807" s="3">
        <v>15</v>
      </c>
      <c r="P807" s="3">
        <f t="shared" si="0"/>
        <v>0</v>
      </c>
      <c r="Q807" s="3">
        <f t="shared" si="1"/>
        <v>0</v>
      </c>
      <c r="R807" s="3">
        <f t="shared" si="2"/>
        <v>62.5</v>
      </c>
      <c r="S807" s="11"/>
    </row>
    <row r="808" ht="13.5" customHeight="1" spans="1:19">
      <c r="A808" s="4" t="s">
        <v>93</v>
      </c>
      <c r="B808" s="3">
        <v>1661</v>
      </c>
      <c r="C808" s="3">
        <v>10216</v>
      </c>
      <c r="D808" s="3">
        <v>0.1</v>
      </c>
      <c r="E808" s="4" t="s">
        <v>28</v>
      </c>
      <c r="F808" s="4" t="s">
        <v>70</v>
      </c>
      <c r="G808" s="4" t="s">
        <v>79</v>
      </c>
      <c r="H808" s="4" t="s">
        <v>40</v>
      </c>
      <c r="I808" s="4" t="s">
        <v>156</v>
      </c>
      <c r="J808" s="3">
        <v>3</v>
      </c>
      <c r="K808" s="3">
        <v>25</v>
      </c>
      <c r="L808" s="3">
        <v>0</v>
      </c>
      <c r="M808" s="3">
        <v>4</v>
      </c>
      <c r="N808" s="3">
        <v>5</v>
      </c>
      <c r="O808" s="3">
        <v>16</v>
      </c>
      <c r="P808" s="3">
        <f t="shared" si="0"/>
        <v>0</v>
      </c>
      <c r="Q808" s="3">
        <f t="shared" si="1"/>
        <v>0</v>
      </c>
      <c r="R808" s="3">
        <f t="shared" si="2"/>
        <v>80</v>
      </c>
      <c r="S808" s="11"/>
    </row>
    <row r="809" ht="13.5" customHeight="1" spans="1:19">
      <c r="A809" s="4" t="s">
        <v>93</v>
      </c>
      <c r="B809" s="3">
        <v>1661</v>
      </c>
      <c r="C809" s="3">
        <v>10216</v>
      </c>
      <c r="D809" s="3">
        <v>0.1</v>
      </c>
      <c r="E809" s="4" t="s">
        <v>28</v>
      </c>
      <c r="F809" s="4" t="s">
        <v>70</v>
      </c>
      <c r="G809" s="4" t="s">
        <v>79</v>
      </c>
      <c r="H809" s="4" t="s">
        <v>40</v>
      </c>
      <c r="I809" s="4" t="s">
        <v>156</v>
      </c>
      <c r="J809" s="3">
        <v>4</v>
      </c>
      <c r="K809" s="3">
        <v>25</v>
      </c>
      <c r="L809" s="3">
        <v>0</v>
      </c>
      <c r="M809" s="3">
        <v>5</v>
      </c>
      <c r="N809" s="3">
        <v>0</v>
      </c>
      <c r="O809" s="3">
        <v>20</v>
      </c>
      <c r="P809" s="3">
        <f t="shared" si="0"/>
        <v>0</v>
      </c>
      <c r="Q809" s="3">
        <f t="shared" si="1"/>
        <v>0</v>
      </c>
      <c r="R809" s="3">
        <f t="shared" si="2"/>
        <v>80</v>
      </c>
      <c r="S809" s="11"/>
    </row>
    <row r="810" ht="13.5" customHeight="1" spans="1:21">
      <c r="A810" s="4" t="s">
        <v>69</v>
      </c>
      <c r="B810" s="3">
        <v>1940</v>
      </c>
      <c r="C810" s="3">
        <v>11126</v>
      </c>
      <c r="D810" s="3">
        <v>0.1</v>
      </c>
      <c r="E810" s="4" t="s">
        <v>28</v>
      </c>
      <c r="F810" s="4" t="s">
        <v>78</v>
      </c>
      <c r="G810" s="3" t="s">
        <v>79</v>
      </c>
      <c r="H810" s="4" t="s">
        <v>40</v>
      </c>
      <c r="I810" s="4" t="s">
        <v>156</v>
      </c>
      <c r="J810" s="3">
        <v>1</v>
      </c>
      <c r="K810" s="3">
        <v>25</v>
      </c>
      <c r="L810" s="3">
        <v>1</v>
      </c>
      <c r="M810" s="3">
        <v>2</v>
      </c>
      <c r="N810" s="3">
        <v>1</v>
      </c>
      <c r="O810" s="3">
        <v>21</v>
      </c>
      <c r="P810" s="3">
        <f t="shared" si="0"/>
        <v>0</v>
      </c>
      <c r="Q810" s="3">
        <f t="shared" si="1"/>
        <v>4.16666666666667</v>
      </c>
      <c r="R810" s="3">
        <f t="shared" si="2"/>
        <v>87.5</v>
      </c>
      <c r="S810" s="11">
        <f>AVERAGE(Q810:Q813)</f>
        <v>3.08333333333333</v>
      </c>
      <c r="T810" s="7">
        <f>AVERAGE(R810:R813)</f>
        <v>87.625</v>
      </c>
      <c r="U810" s="8">
        <f>(L810+L811+L812+L813+O810+O811+O812+O813)/(K810+K811+K812+K813)*100</f>
        <v>88</v>
      </c>
    </row>
    <row r="811" ht="13.5" customHeight="1" spans="1:19">
      <c r="A811" s="4" t="s">
        <v>69</v>
      </c>
      <c r="B811" s="3">
        <v>1940</v>
      </c>
      <c r="C811" s="3">
        <v>11126</v>
      </c>
      <c r="D811" s="3">
        <v>0.1</v>
      </c>
      <c r="E811" s="4" t="s">
        <v>28</v>
      </c>
      <c r="F811" s="4" t="s">
        <v>78</v>
      </c>
      <c r="G811" s="3" t="s">
        <v>79</v>
      </c>
      <c r="H811" s="4" t="s">
        <v>40</v>
      </c>
      <c r="I811" s="4" t="s">
        <v>156</v>
      </c>
      <c r="J811" s="3">
        <v>2</v>
      </c>
      <c r="K811" s="3">
        <v>25</v>
      </c>
      <c r="L811" s="3">
        <v>1</v>
      </c>
      <c r="M811" s="3">
        <v>2</v>
      </c>
      <c r="N811" s="3">
        <v>0</v>
      </c>
      <c r="O811" s="3">
        <v>22</v>
      </c>
      <c r="P811" s="3">
        <f t="shared" si="0"/>
        <v>0</v>
      </c>
      <c r="Q811" s="3">
        <f t="shared" si="1"/>
        <v>4</v>
      </c>
      <c r="R811" s="3">
        <f t="shared" si="2"/>
        <v>88</v>
      </c>
      <c r="S811" s="11"/>
    </row>
    <row r="812" ht="13.5" customHeight="1" spans="1:19">
      <c r="A812" s="4" t="s">
        <v>69</v>
      </c>
      <c r="B812" s="3">
        <v>1940</v>
      </c>
      <c r="C812" s="3">
        <v>11126</v>
      </c>
      <c r="D812" s="3">
        <v>0.1</v>
      </c>
      <c r="E812" s="4" t="s">
        <v>28</v>
      </c>
      <c r="F812" s="4" t="s">
        <v>78</v>
      </c>
      <c r="G812" s="3" t="s">
        <v>79</v>
      </c>
      <c r="H812" s="4" t="s">
        <v>40</v>
      </c>
      <c r="I812" s="4" t="s">
        <v>156</v>
      </c>
      <c r="J812" s="3">
        <v>3</v>
      </c>
      <c r="K812" s="3">
        <v>25</v>
      </c>
      <c r="L812" s="3">
        <v>0</v>
      </c>
      <c r="M812" s="3">
        <v>3</v>
      </c>
      <c r="N812" s="3">
        <v>1</v>
      </c>
      <c r="O812" s="3">
        <v>21</v>
      </c>
      <c r="P812" s="3">
        <f t="shared" si="0"/>
        <v>0</v>
      </c>
      <c r="Q812" s="3">
        <f t="shared" si="1"/>
        <v>0</v>
      </c>
      <c r="R812" s="3">
        <f t="shared" si="2"/>
        <v>87.5</v>
      </c>
      <c r="S812" s="11"/>
    </row>
    <row r="813" ht="13.5" customHeight="1" spans="1:19">
      <c r="A813" s="4" t="s">
        <v>69</v>
      </c>
      <c r="B813" s="3">
        <v>1940</v>
      </c>
      <c r="C813" s="3">
        <v>11126</v>
      </c>
      <c r="D813" s="3">
        <v>0.1</v>
      </c>
      <c r="E813" s="4" t="s">
        <v>28</v>
      </c>
      <c r="F813" s="4" t="s">
        <v>78</v>
      </c>
      <c r="G813" s="3" t="s">
        <v>79</v>
      </c>
      <c r="H813" s="4" t="s">
        <v>40</v>
      </c>
      <c r="I813" s="4" t="s">
        <v>156</v>
      </c>
      <c r="J813" s="3">
        <v>4</v>
      </c>
      <c r="K813" s="3">
        <v>25</v>
      </c>
      <c r="L813" s="3">
        <v>1</v>
      </c>
      <c r="M813" s="3">
        <v>2</v>
      </c>
      <c r="N813" s="3">
        <v>1</v>
      </c>
      <c r="O813" s="3">
        <v>21</v>
      </c>
      <c r="P813" s="3">
        <f t="shared" si="0"/>
        <v>0</v>
      </c>
      <c r="Q813" s="3">
        <f t="shared" si="1"/>
        <v>4.16666666666667</v>
      </c>
      <c r="R813" s="3">
        <f t="shared" si="2"/>
        <v>87.5</v>
      </c>
      <c r="S813" s="11"/>
    </row>
    <row r="814" ht="13.5" customHeight="1" spans="1:21">
      <c r="A814" s="4" t="s">
        <v>32</v>
      </c>
      <c r="B814" s="3">
        <v>1342</v>
      </c>
      <c r="C814" s="3">
        <v>9074</v>
      </c>
      <c r="D814" s="3">
        <v>0.1</v>
      </c>
      <c r="E814" s="4" t="s">
        <v>28</v>
      </c>
      <c r="F814" s="4" t="s">
        <v>148</v>
      </c>
      <c r="G814" s="3" t="s">
        <v>71</v>
      </c>
      <c r="H814" s="4" t="s">
        <v>40</v>
      </c>
      <c r="I814" s="4" t="s">
        <v>156</v>
      </c>
      <c r="J814" s="3">
        <v>1</v>
      </c>
      <c r="K814" s="3">
        <v>25</v>
      </c>
      <c r="L814" s="3">
        <v>0</v>
      </c>
      <c r="M814" s="3">
        <v>0</v>
      </c>
      <c r="N814" s="3">
        <v>1</v>
      </c>
      <c r="O814" s="3">
        <v>24</v>
      </c>
      <c r="P814" s="3">
        <f t="shared" si="0"/>
        <v>0</v>
      </c>
      <c r="Q814" s="3">
        <f t="shared" si="1"/>
        <v>0</v>
      </c>
      <c r="R814" s="3">
        <f t="shared" si="2"/>
        <v>100</v>
      </c>
      <c r="S814" s="11">
        <f>AVERAGE(Q814:Q817)</f>
        <v>2</v>
      </c>
      <c r="T814" s="7">
        <f>AVERAGE(R814:R817)</f>
        <v>98</v>
      </c>
      <c r="U814" s="8">
        <f>(L814+L815+L816+L817+O814+O815+O816+O817)/(K814+K815+K816+K817)*100</f>
        <v>99</v>
      </c>
    </row>
    <row r="815" ht="13.5" customHeight="1" spans="1:19">
      <c r="A815" s="4" t="s">
        <v>32</v>
      </c>
      <c r="B815" s="3">
        <v>1342</v>
      </c>
      <c r="C815" s="3">
        <v>9074</v>
      </c>
      <c r="D815" s="3">
        <v>0.1</v>
      </c>
      <c r="E815" s="4" t="s">
        <v>28</v>
      </c>
      <c r="F815" s="4" t="s">
        <v>148</v>
      </c>
      <c r="G815" s="3" t="s">
        <v>71</v>
      </c>
      <c r="H815" s="4" t="s">
        <v>40</v>
      </c>
      <c r="I815" s="4" t="s">
        <v>156</v>
      </c>
      <c r="J815" s="3">
        <v>2</v>
      </c>
      <c r="K815" s="3">
        <v>25</v>
      </c>
      <c r="L815" s="3">
        <v>0</v>
      </c>
      <c r="M815" s="3">
        <v>0</v>
      </c>
      <c r="N815" s="3">
        <v>0</v>
      </c>
      <c r="O815" s="3">
        <v>25</v>
      </c>
      <c r="P815" s="3">
        <f t="shared" si="0"/>
        <v>0</v>
      </c>
      <c r="Q815" s="3">
        <f t="shared" si="1"/>
        <v>0</v>
      </c>
      <c r="R815" s="3">
        <f t="shared" si="2"/>
        <v>100</v>
      </c>
      <c r="S815" s="11"/>
    </row>
    <row r="816" ht="13.5" customHeight="1" spans="1:19">
      <c r="A816" s="4" t="s">
        <v>32</v>
      </c>
      <c r="B816" s="3">
        <v>1342</v>
      </c>
      <c r="C816" s="3">
        <v>9074</v>
      </c>
      <c r="D816" s="3">
        <v>0.1</v>
      </c>
      <c r="E816" s="4" t="s">
        <v>28</v>
      </c>
      <c r="F816" s="4" t="s">
        <v>148</v>
      </c>
      <c r="G816" s="3" t="s">
        <v>71</v>
      </c>
      <c r="H816" s="4" t="s">
        <v>40</v>
      </c>
      <c r="I816" s="4" t="s">
        <v>156</v>
      </c>
      <c r="J816" s="3">
        <v>3</v>
      </c>
      <c r="K816" s="3">
        <v>25</v>
      </c>
      <c r="L816" s="3">
        <v>0</v>
      </c>
      <c r="M816" s="3">
        <v>0</v>
      </c>
      <c r="N816" s="3">
        <v>0</v>
      </c>
      <c r="O816" s="3">
        <v>25</v>
      </c>
      <c r="P816" s="3">
        <f t="shared" si="0"/>
        <v>0</v>
      </c>
      <c r="Q816" s="3">
        <f t="shared" si="1"/>
        <v>0</v>
      </c>
      <c r="R816" s="3">
        <f t="shared" si="2"/>
        <v>100</v>
      </c>
      <c r="S816" s="11"/>
    </row>
    <row r="817" ht="13.5" customHeight="1" spans="1:19">
      <c r="A817" s="4" t="s">
        <v>32</v>
      </c>
      <c r="B817" s="3">
        <v>1342</v>
      </c>
      <c r="C817" s="3">
        <v>9074</v>
      </c>
      <c r="D817" s="3">
        <v>0.1</v>
      </c>
      <c r="E817" s="4" t="s">
        <v>28</v>
      </c>
      <c r="F817" s="4" t="s">
        <v>148</v>
      </c>
      <c r="G817" s="3" t="s">
        <v>71</v>
      </c>
      <c r="H817" s="4" t="s">
        <v>40</v>
      </c>
      <c r="I817" s="4" t="s">
        <v>156</v>
      </c>
      <c r="J817" s="3">
        <v>4</v>
      </c>
      <c r="K817" s="3">
        <v>25</v>
      </c>
      <c r="L817" s="3">
        <v>2</v>
      </c>
      <c r="M817" s="3">
        <v>0</v>
      </c>
      <c r="N817" s="3">
        <v>0</v>
      </c>
      <c r="O817" s="3">
        <v>23</v>
      </c>
      <c r="P817" s="3">
        <f t="shared" si="0"/>
        <v>0</v>
      </c>
      <c r="Q817" s="3">
        <f t="shared" si="1"/>
        <v>8</v>
      </c>
      <c r="R817" s="3">
        <f t="shared" si="2"/>
        <v>92</v>
      </c>
      <c r="S817" s="11"/>
    </row>
    <row r="818" ht="13.5" customHeight="1" spans="1:21">
      <c r="A818" s="4" t="s">
        <v>47</v>
      </c>
      <c r="B818" s="3">
        <v>1504</v>
      </c>
      <c r="C818" s="3">
        <v>9859</v>
      </c>
      <c r="D818" s="3">
        <v>0.1</v>
      </c>
      <c r="E818" s="4" t="s">
        <v>28</v>
      </c>
      <c r="F818" s="4" t="s">
        <v>70</v>
      </c>
      <c r="G818" s="4" t="s">
        <v>79</v>
      </c>
      <c r="H818" s="4" t="s">
        <v>40</v>
      </c>
      <c r="I818" s="4" t="s">
        <v>156</v>
      </c>
      <c r="J818" s="3">
        <v>1</v>
      </c>
      <c r="K818" s="3">
        <v>25</v>
      </c>
      <c r="L818" s="3">
        <v>0</v>
      </c>
      <c r="M818" s="3">
        <v>5</v>
      </c>
      <c r="N818" s="3">
        <v>2</v>
      </c>
      <c r="O818" s="3">
        <v>18</v>
      </c>
      <c r="P818" s="3">
        <f t="shared" si="0"/>
        <v>0</v>
      </c>
      <c r="Q818" s="3">
        <f t="shared" si="1"/>
        <v>0</v>
      </c>
      <c r="R818" s="3">
        <f t="shared" si="2"/>
        <v>78.2608695652174</v>
      </c>
      <c r="S818" s="11">
        <f>AVERAGE(Q818:Q821)</f>
        <v>1</v>
      </c>
      <c r="T818" s="7">
        <f>AVERAGE(R818:R821)</f>
        <v>80.5652173913043</v>
      </c>
      <c r="U818" s="8">
        <f>(L818+L819+L820+L821+O818+O819+O820+O821)/(K818+K819+K820+K821)*100</f>
        <v>80</v>
      </c>
    </row>
    <row r="819" ht="13.5" customHeight="1" spans="1:19">
      <c r="A819" s="4" t="s">
        <v>47</v>
      </c>
      <c r="B819" s="3">
        <v>1504</v>
      </c>
      <c r="C819" s="3">
        <v>9859</v>
      </c>
      <c r="D819" s="3">
        <v>0.1</v>
      </c>
      <c r="E819" s="4" t="s">
        <v>28</v>
      </c>
      <c r="F819" s="4" t="s">
        <v>70</v>
      </c>
      <c r="G819" s="4" t="s">
        <v>79</v>
      </c>
      <c r="H819" s="4" t="s">
        <v>40</v>
      </c>
      <c r="I819" s="4" t="s">
        <v>156</v>
      </c>
      <c r="J819" s="3">
        <v>2</v>
      </c>
      <c r="K819" s="3">
        <v>25</v>
      </c>
      <c r="L819" s="3">
        <v>0</v>
      </c>
      <c r="M819" s="3">
        <v>5</v>
      </c>
      <c r="N819" s="3">
        <v>0</v>
      </c>
      <c r="O819" s="3">
        <v>20</v>
      </c>
      <c r="P819" s="3">
        <f t="shared" si="0"/>
        <v>0</v>
      </c>
      <c r="Q819" s="3">
        <f t="shared" si="1"/>
        <v>0</v>
      </c>
      <c r="R819" s="3">
        <f t="shared" si="2"/>
        <v>80</v>
      </c>
      <c r="S819" s="11"/>
    </row>
    <row r="820" ht="13.5" customHeight="1" spans="1:19">
      <c r="A820" s="4" t="s">
        <v>47</v>
      </c>
      <c r="B820" s="3">
        <v>1504</v>
      </c>
      <c r="C820" s="3">
        <v>9859</v>
      </c>
      <c r="D820" s="3">
        <v>0.1</v>
      </c>
      <c r="E820" s="4" t="s">
        <v>28</v>
      </c>
      <c r="F820" s="4" t="s">
        <v>70</v>
      </c>
      <c r="G820" s="4" t="s">
        <v>79</v>
      </c>
      <c r="H820" s="4" t="s">
        <v>40</v>
      </c>
      <c r="I820" s="4" t="s">
        <v>156</v>
      </c>
      <c r="J820" s="3">
        <v>3</v>
      </c>
      <c r="K820" s="3">
        <v>25</v>
      </c>
      <c r="L820" s="3">
        <v>1</v>
      </c>
      <c r="M820" s="3">
        <v>6</v>
      </c>
      <c r="N820" s="3">
        <v>0</v>
      </c>
      <c r="O820" s="3">
        <v>18</v>
      </c>
      <c r="P820" s="3">
        <f t="shared" si="0"/>
        <v>0</v>
      </c>
      <c r="Q820" s="3">
        <f t="shared" si="1"/>
        <v>4</v>
      </c>
      <c r="R820" s="3">
        <f t="shared" si="2"/>
        <v>72</v>
      </c>
      <c r="S820" s="11"/>
    </row>
    <row r="821" ht="13.5" customHeight="1" spans="1:19">
      <c r="A821" s="4" t="s">
        <v>47</v>
      </c>
      <c r="B821" s="3">
        <v>1504</v>
      </c>
      <c r="C821" s="3">
        <v>9859</v>
      </c>
      <c r="D821" s="3">
        <v>0.1</v>
      </c>
      <c r="E821" s="4" t="s">
        <v>28</v>
      </c>
      <c r="F821" s="4" t="s">
        <v>70</v>
      </c>
      <c r="G821" s="4" t="s">
        <v>79</v>
      </c>
      <c r="H821" s="4" t="s">
        <v>40</v>
      </c>
      <c r="I821" s="4" t="s">
        <v>156</v>
      </c>
      <c r="J821" s="3">
        <v>4</v>
      </c>
      <c r="K821" s="3">
        <v>25</v>
      </c>
      <c r="L821" s="3">
        <v>0</v>
      </c>
      <c r="M821" s="3">
        <v>2</v>
      </c>
      <c r="N821" s="3">
        <v>0</v>
      </c>
      <c r="O821" s="3">
        <v>23</v>
      </c>
      <c r="P821" s="3">
        <f t="shared" si="0"/>
        <v>0</v>
      </c>
      <c r="Q821" s="3">
        <f t="shared" si="1"/>
        <v>0</v>
      </c>
      <c r="R821" s="3">
        <f t="shared" si="2"/>
        <v>92</v>
      </c>
      <c r="S821" s="11"/>
    </row>
    <row r="822" ht="13.5" customHeight="1" spans="1:21">
      <c r="A822" s="4" t="s">
        <v>77</v>
      </c>
      <c r="B822" s="3">
        <v>1746</v>
      </c>
      <c r="C822" s="3">
        <v>10331</v>
      </c>
      <c r="D822" s="3">
        <v>0.1</v>
      </c>
      <c r="E822" s="4" t="s">
        <v>28</v>
      </c>
      <c r="F822" s="4" t="s">
        <v>70</v>
      </c>
      <c r="G822" s="3" t="s">
        <v>79</v>
      </c>
      <c r="H822" s="4" t="s">
        <v>40</v>
      </c>
      <c r="I822" s="4" t="s">
        <v>156</v>
      </c>
      <c r="J822" s="3">
        <v>1</v>
      </c>
      <c r="K822" s="3">
        <v>25</v>
      </c>
      <c r="L822" s="3">
        <v>0</v>
      </c>
      <c r="M822" s="3">
        <v>1</v>
      </c>
      <c r="N822" s="3">
        <v>1</v>
      </c>
      <c r="O822" s="3">
        <v>23</v>
      </c>
      <c r="P822" s="3">
        <f t="shared" si="0"/>
        <v>0</v>
      </c>
      <c r="Q822" s="3">
        <f t="shared" si="1"/>
        <v>0</v>
      </c>
      <c r="R822" s="3">
        <f t="shared" si="2"/>
        <v>95.8333333333333</v>
      </c>
      <c r="S822" s="11">
        <f>AVERAGE(Q822:Q825)</f>
        <v>0</v>
      </c>
      <c r="T822" s="7">
        <f>AVERAGE(R822:R825)</f>
        <v>91.875</v>
      </c>
      <c r="U822" s="8">
        <f>(L822+L823+L824+L825+O822+O823+O824+O825)/(K822+K823+K824+K825)*100</f>
        <v>90</v>
      </c>
    </row>
    <row r="823" ht="13.5" customHeight="1" spans="1:19">
      <c r="A823" s="4" t="s">
        <v>77</v>
      </c>
      <c r="B823" s="3">
        <v>1746</v>
      </c>
      <c r="C823" s="3">
        <v>10331</v>
      </c>
      <c r="D823" s="3">
        <v>0.1</v>
      </c>
      <c r="E823" s="4" t="s">
        <v>28</v>
      </c>
      <c r="F823" s="4" t="s">
        <v>70</v>
      </c>
      <c r="G823" s="3" t="s">
        <v>79</v>
      </c>
      <c r="H823" s="4" t="s">
        <v>40</v>
      </c>
      <c r="I823" s="4" t="s">
        <v>156</v>
      </c>
      <c r="J823" s="3">
        <v>2</v>
      </c>
      <c r="K823" s="3">
        <v>25</v>
      </c>
      <c r="L823" s="3">
        <v>0</v>
      </c>
      <c r="M823" s="3">
        <v>3</v>
      </c>
      <c r="N823" s="3">
        <v>0</v>
      </c>
      <c r="O823" s="3">
        <v>22</v>
      </c>
      <c r="P823" s="3">
        <f t="shared" si="0"/>
        <v>0</v>
      </c>
      <c r="Q823" s="3">
        <f t="shared" si="1"/>
        <v>0</v>
      </c>
      <c r="R823" s="3">
        <f t="shared" si="2"/>
        <v>88</v>
      </c>
      <c r="S823" s="11"/>
    </row>
    <row r="824" ht="13.5" customHeight="1" spans="1:19">
      <c r="A824" s="4" t="s">
        <v>77</v>
      </c>
      <c r="B824" s="3">
        <v>1746</v>
      </c>
      <c r="C824" s="3">
        <v>10331</v>
      </c>
      <c r="D824" s="3">
        <v>0.1</v>
      </c>
      <c r="E824" s="4" t="s">
        <v>28</v>
      </c>
      <c r="F824" s="4" t="s">
        <v>70</v>
      </c>
      <c r="G824" s="3" t="s">
        <v>79</v>
      </c>
      <c r="H824" s="4" t="s">
        <v>40</v>
      </c>
      <c r="I824" s="4" t="s">
        <v>156</v>
      </c>
      <c r="J824" s="3">
        <v>3</v>
      </c>
      <c r="K824" s="3">
        <v>25</v>
      </c>
      <c r="L824" s="3">
        <v>0</v>
      </c>
      <c r="M824" s="3">
        <v>2</v>
      </c>
      <c r="N824" s="3">
        <v>1</v>
      </c>
      <c r="O824" s="3">
        <v>22</v>
      </c>
      <c r="P824" s="3">
        <f t="shared" si="0"/>
        <v>0</v>
      </c>
      <c r="Q824" s="3">
        <f t="shared" si="1"/>
        <v>0</v>
      </c>
      <c r="R824" s="3">
        <f t="shared" si="2"/>
        <v>91.6666666666667</v>
      </c>
      <c r="S824" s="11"/>
    </row>
    <row r="825" ht="13.5" customHeight="1" spans="1:19">
      <c r="A825" s="4" t="s">
        <v>77</v>
      </c>
      <c r="B825" s="3">
        <v>1746</v>
      </c>
      <c r="C825" s="3">
        <v>10331</v>
      </c>
      <c r="D825" s="3">
        <v>0.1</v>
      </c>
      <c r="E825" s="4" t="s">
        <v>28</v>
      </c>
      <c r="F825" s="4" t="s">
        <v>70</v>
      </c>
      <c r="G825" s="3" t="s">
        <v>79</v>
      </c>
      <c r="H825" s="4" t="s">
        <v>40</v>
      </c>
      <c r="I825" s="4" t="s">
        <v>156</v>
      </c>
      <c r="J825" s="3">
        <v>4</v>
      </c>
      <c r="K825" s="3">
        <v>25</v>
      </c>
      <c r="L825" s="3">
        <v>0</v>
      </c>
      <c r="M825" s="3">
        <v>2</v>
      </c>
      <c r="N825" s="3">
        <v>0</v>
      </c>
      <c r="O825" s="3">
        <v>23</v>
      </c>
      <c r="P825" s="3">
        <f t="shared" si="0"/>
        <v>0</v>
      </c>
      <c r="Q825" s="3">
        <f t="shared" si="1"/>
        <v>0</v>
      </c>
      <c r="R825" s="3">
        <f t="shared" si="2"/>
        <v>92</v>
      </c>
      <c r="S825" s="11"/>
    </row>
    <row r="826" ht="13.5" customHeight="1" spans="1:21">
      <c r="A826" s="4" t="s">
        <v>57</v>
      </c>
      <c r="B826" s="3">
        <v>1847</v>
      </c>
      <c r="C826" s="3">
        <v>10763</v>
      </c>
      <c r="D826" s="3">
        <v>1</v>
      </c>
      <c r="E826" s="4" t="s">
        <v>28</v>
      </c>
      <c r="F826" s="4" t="s">
        <v>169</v>
      </c>
      <c r="G826" s="3" t="s">
        <v>79</v>
      </c>
      <c r="H826" s="4" t="s">
        <v>40</v>
      </c>
      <c r="I826" s="4" t="s">
        <v>156</v>
      </c>
      <c r="J826" s="3">
        <v>1</v>
      </c>
      <c r="K826" s="3">
        <v>25</v>
      </c>
      <c r="L826" s="3">
        <v>2</v>
      </c>
      <c r="M826" s="3">
        <v>2</v>
      </c>
      <c r="N826" s="3">
        <v>0</v>
      </c>
      <c r="O826" s="3">
        <v>21</v>
      </c>
      <c r="P826" s="3">
        <f t="shared" si="0"/>
        <v>0</v>
      </c>
      <c r="Q826" s="3">
        <f t="shared" si="1"/>
        <v>8</v>
      </c>
      <c r="R826" s="3">
        <f t="shared" si="2"/>
        <v>84</v>
      </c>
      <c r="S826" s="11">
        <f>AVERAGE(Q826:Q829)</f>
        <v>4.04166666666667</v>
      </c>
      <c r="T826" s="7">
        <f>AVERAGE(R826:R829)</f>
        <v>82.8333333333333</v>
      </c>
      <c r="U826" s="8">
        <f>(L826+L827+L828+L829+O826+O827+O828+O829)/(K826+K827+K828+K829)*100</f>
        <v>86</v>
      </c>
    </row>
    <row r="827" ht="13.5" customHeight="1" spans="1:19">
      <c r="A827" s="4" t="s">
        <v>57</v>
      </c>
      <c r="B827" s="3">
        <v>1847</v>
      </c>
      <c r="C827" s="3">
        <v>10763</v>
      </c>
      <c r="D827" s="3">
        <v>1</v>
      </c>
      <c r="E827" s="4" t="s">
        <v>28</v>
      </c>
      <c r="F827" s="4" t="s">
        <v>169</v>
      </c>
      <c r="G827" s="3" t="s">
        <v>79</v>
      </c>
      <c r="H827" s="4" t="s">
        <v>40</v>
      </c>
      <c r="I827" s="4" t="s">
        <v>156</v>
      </c>
      <c r="J827" s="3">
        <v>2</v>
      </c>
      <c r="K827" s="3">
        <v>25</v>
      </c>
      <c r="L827" s="3">
        <v>1</v>
      </c>
      <c r="M827" s="3">
        <v>2</v>
      </c>
      <c r="N827" s="3">
        <v>0</v>
      </c>
      <c r="O827" s="3">
        <v>22</v>
      </c>
      <c r="P827" s="3">
        <f t="shared" si="0"/>
        <v>0</v>
      </c>
      <c r="Q827" s="3">
        <f t="shared" si="1"/>
        <v>4</v>
      </c>
      <c r="R827" s="3">
        <f t="shared" si="2"/>
        <v>88</v>
      </c>
      <c r="S827" s="11"/>
    </row>
    <row r="828" ht="13.5" customHeight="1" spans="1:19">
      <c r="A828" s="4" t="s">
        <v>57</v>
      </c>
      <c r="B828" s="3">
        <v>1847</v>
      </c>
      <c r="C828" s="3">
        <v>10763</v>
      </c>
      <c r="D828" s="3">
        <v>1</v>
      </c>
      <c r="E828" s="4" t="s">
        <v>28</v>
      </c>
      <c r="F828" s="4" t="s">
        <v>169</v>
      </c>
      <c r="G828" s="3" t="s">
        <v>79</v>
      </c>
      <c r="H828" s="4" t="s">
        <v>40</v>
      </c>
      <c r="I828" s="4" t="s">
        <v>156</v>
      </c>
      <c r="J828" s="3">
        <v>3</v>
      </c>
      <c r="K828" s="3">
        <v>25</v>
      </c>
      <c r="L828" s="3">
        <v>1</v>
      </c>
      <c r="M828" s="3">
        <v>3</v>
      </c>
      <c r="N828" s="3">
        <v>1</v>
      </c>
      <c r="O828" s="3">
        <v>20</v>
      </c>
      <c r="P828" s="3">
        <f t="shared" si="0"/>
        <v>0</v>
      </c>
      <c r="Q828" s="3">
        <f t="shared" si="1"/>
        <v>4.16666666666667</v>
      </c>
      <c r="R828" s="3">
        <f t="shared" si="2"/>
        <v>83.3333333333333</v>
      </c>
      <c r="S828" s="11"/>
    </row>
    <row r="829" ht="13.5" customHeight="1" spans="1:19">
      <c r="A829" s="4" t="s">
        <v>57</v>
      </c>
      <c r="B829" s="3">
        <v>1847</v>
      </c>
      <c r="C829" s="3">
        <v>10763</v>
      </c>
      <c r="D829" s="3">
        <v>1</v>
      </c>
      <c r="E829" s="4" t="s">
        <v>28</v>
      </c>
      <c r="F829" s="4" t="s">
        <v>169</v>
      </c>
      <c r="G829" s="3" t="s">
        <v>79</v>
      </c>
      <c r="H829" s="4" t="s">
        <v>40</v>
      </c>
      <c r="I829" s="4" t="s">
        <v>156</v>
      </c>
      <c r="J829" s="3">
        <v>4</v>
      </c>
      <c r="K829" s="3">
        <v>25</v>
      </c>
      <c r="L829" s="3">
        <v>0</v>
      </c>
      <c r="M829" s="3">
        <v>6</v>
      </c>
      <c r="N829" s="3">
        <v>0</v>
      </c>
      <c r="O829" s="3">
        <v>19</v>
      </c>
      <c r="P829" s="3">
        <f t="shared" si="0"/>
        <v>0</v>
      </c>
      <c r="Q829" s="3">
        <f t="shared" si="1"/>
        <v>0</v>
      </c>
      <c r="R829" s="3">
        <f t="shared" si="2"/>
        <v>76</v>
      </c>
      <c r="S829" s="11"/>
    </row>
    <row r="830" ht="13.5" customHeight="1" spans="1:21">
      <c r="A830" s="4" t="s">
        <v>41</v>
      </c>
      <c r="B830" s="3">
        <v>1073</v>
      </c>
      <c r="C830" s="3">
        <v>6256</v>
      </c>
      <c r="D830" s="3">
        <v>1</v>
      </c>
      <c r="E830" s="4" t="s">
        <v>38</v>
      </c>
      <c r="F830" s="4" t="s">
        <v>87</v>
      </c>
      <c r="G830" s="4" t="s">
        <v>87</v>
      </c>
      <c r="H830" s="4" t="s">
        <v>40</v>
      </c>
      <c r="I830" s="4" t="s">
        <v>156</v>
      </c>
      <c r="J830" s="3">
        <v>1</v>
      </c>
      <c r="K830" s="3">
        <v>25</v>
      </c>
      <c r="L830" s="3">
        <v>6</v>
      </c>
      <c r="M830" s="3">
        <v>5</v>
      </c>
      <c r="N830" s="3">
        <v>0</v>
      </c>
      <c r="O830" s="3">
        <v>14</v>
      </c>
      <c r="P830" s="3">
        <f t="shared" si="0"/>
        <v>0</v>
      </c>
      <c r="Q830" s="3">
        <f t="shared" si="1"/>
        <v>24</v>
      </c>
      <c r="R830" s="3">
        <f t="shared" si="2"/>
        <v>56</v>
      </c>
      <c r="S830" s="11">
        <f>AVERAGE(Q830:Q833)</f>
        <v>17</v>
      </c>
      <c r="T830" s="7">
        <f>AVERAGE(R830:R833)</f>
        <v>64</v>
      </c>
      <c r="U830" s="8">
        <f>(L830+L831+L832+L833+O830+O831+O832+O833)/(K830+K831+K832+K833)*100</f>
        <v>81</v>
      </c>
    </row>
    <row r="831" ht="13.5" customHeight="1" spans="1:19">
      <c r="A831" s="4" t="s">
        <v>41</v>
      </c>
      <c r="B831" s="3">
        <v>1073</v>
      </c>
      <c r="C831" s="3">
        <v>6256</v>
      </c>
      <c r="D831" s="3">
        <v>1</v>
      </c>
      <c r="E831" s="4" t="s">
        <v>38</v>
      </c>
      <c r="F831" s="4" t="s">
        <v>87</v>
      </c>
      <c r="G831" s="4" t="s">
        <v>87</v>
      </c>
      <c r="H831" s="4" t="s">
        <v>40</v>
      </c>
      <c r="I831" s="4" t="s">
        <v>156</v>
      </c>
      <c r="J831" s="3">
        <v>2</v>
      </c>
      <c r="K831" s="3">
        <v>25</v>
      </c>
      <c r="L831" s="3">
        <v>5</v>
      </c>
      <c r="M831" s="3">
        <v>4</v>
      </c>
      <c r="N831" s="3">
        <v>0</v>
      </c>
      <c r="O831" s="3">
        <v>16</v>
      </c>
      <c r="P831" s="3">
        <f t="shared" si="0"/>
        <v>0</v>
      </c>
      <c r="Q831" s="3">
        <f t="shared" si="1"/>
        <v>20</v>
      </c>
      <c r="R831" s="3">
        <f t="shared" si="2"/>
        <v>64</v>
      </c>
      <c r="S831" s="11"/>
    </row>
    <row r="832" ht="13.5" customHeight="1" spans="1:19">
      <c r="A832" s="4" t="s">
        <v>41</v>
      </c>
      <c r="B832" s="3">
        <v>1073</v>
      </c>
      <c r="C832" s="3">
        <v>6256</v>
      </c>
      <c r="D832" s="3">
        <v>1</v>
      </c>
      <c r="E832" s="4" t="s">
        <v>38</v>
      </c>
      <c r="F832" s="4" t="s">
        <v>87</v>
      </c>
      <c r="G832" s="4" t="s">
        <v>87</v>
      </c>
      <c r="H832" s="4" t="s">
        <v>40</v>
      </c>
      <c r="I832" s="4" t="s">
        <v>156</v>
      </c>
      <c r="J832" s="3">
        <v>3</v>
      </c>
      <c r="K832" s="3">
        <v>25</v>
      </c>
      <c r="L832" s="3">
        <v>2</v>
      </c>
      <c r="M832" s="3">
        <v>5</v>
      </c>
      <c r="N832" s="3">
        <v>0</v>
      </c>
      <c r="O832" s="3">
        <v>18</v>
      </c>
      <c r="P832" s="3">
        <f t="shared" si="0"/>
        <v>0</v>
      </c>
      <c r="Q832" s="3">
        <f t="shared" si="1"/>
        <v>8</v>
      </c>
      <c r="R832" s="3">
        <f t="shared" si="2"/>
        <v>72</v>
      </c>
      <c r="S832" s="11"/>
    </row>
    <row r="833" ht="13.5" customHeight="1" spans="1:19">
      <c r="A833" s="4" t="s">
        <v>41</v>
      </c>
      <c r="B833" s="3">
        <v>1073</v>
      </c>
      <c r="C833" s="3">
        <v>6256</v>
      </c>
      <c r="D833" s="3">
        <v>1</v>
      </c>
      <c r="E833" s="4" t="s">
        <v>38</v>
      </c>
      <c r="F833" s="4" t="s">
        <v>87</v>
      </c>
      <c r="G833" s="4" t="s">
        <v>87</v>
      </c>
      <c r="H833" s="4" t="s">
        <v>40</v>
      </c>
      <c r="I833" s="4" t="s">
        <v>156</v>
      </c>
      <c r="J833" s="3">
        <v>4</v>
      </c>
      <c r="K833" s="3">
        <v>25</v>
      </c>
      <c r="L833" s="3">
        <v>4</v>
      </c>
      <c r="M833" s="3">
        <v>5</v>
      </c>
      <c r="N833" s="3">
        <v>0</v>
      </c>
      <c r="O833" s="3">
        <v>16</v>
      </c>
      <c r="P833" s="3">
        <f t="shared" si="0"/>
        <v>0</v>
      </c>
      <c r="Q833" s="3">
        <f t="shared" si="1"/>
        <v>16</v>
      </c>
      <c r="R833" s="3">
        <f t="shared" si="2"/>
        <v>64</v>
      </c>
      <c r="S833" s="11"/>
    </row>
    <row r="834" ht="13.5" customHeight="1" spans="1:21">
      <c r="A834" s="4" t="s">
        <v>69</v>
      </c>
      <c r="B834" s="3">
        <v>1940</v>
      </c>
      <c r="C834" s="3">
        <v>11126</v>
      </c>
      <c r="D834" s="3">
        <v>0.1</v>
      </c>
      <c r="E834" s="4" t="s">
        <v>28</v>
      </c>
      <c r="F834" s="4" t="s">
        <v>70</v>
      </c>
      <c r="G834" s="3" t="s">
        <v>71</v>
      </c>
      <c r="H834" s="4" t="s">
        <v>40</v>
      </c>
      <c r="I834" s="4" t="s">
        <v>156</v>
      </c>
      <c r="J834" s="3">
        <v>1</v>
      </c>
      <c r="K834" s="3">
        <v>25</v>
      </c>
      <c r="L834" s="3">
        <v>21</v>
      </c>
      <c r="M834" s="3">
        <v>1</v>
      </c>
      <c r="N834" s="3">
        <v>0</v>
      </c>
      <c r="O834" s="3">
        <v>3</v>
      </c>
      <c r="P834" s="3">
        <f t="shared" si="0"/>
        <v>0</v>
      </c>
      <c r="Q834" s="3">
        <f t="shared" si="1"/>
        <v>84</v>
      </c>
      <c r="R834" s="3">
        <f t="shared" si="2"/>
        <v>12</v>
      </c>
      <c r="S834" s="11">
        <f>AVERAGE(Q834:Q837)</f>
        <v>78.7916666666667</v>
      </c>
      <c r="T834" s="7">
        <f>AVERAGE(R834:R837)</f>
        <v>11</v>
      </c>
      <c r="U834" s="8">
        <f>(L834+L835+L836+L837+O834+O835+O836+O837)/(K834+K835+K836+K837)*100</f>
        <v>89</v>
      </c>
    </row>
    <row r="835" ht="13.5" customHeight="1" spans="1:19">
      <c r="A835" s="4" t="s">
        <v>69</v>
      </c>
      <c r="B835" s="3">
        <v>1940</v>
      </c>
      <c r="C835" s="3">
        <v>11126</v>
      </c>
      <c r="D835" s="3">
        <v>0.1</v>
      </c>
      <c r="E835" s="4" t="s">
        <v>28</v>
      </c>
      <c r="F835" s="4" t="s">
        <v>70</v>
      </c>
      <c r="G835" s="3" t="s">
        <v>71</v>
      </c>
      <c r="H835" s="4" t="s">
        <v>40</v>
      </c>
      <c r="I835" s="4" t="s">
        <v>156</v>
      </c>
      <c r="J835" s="3">
        <v>2</v>
      </c>
      <c r="K835" s="3">
        <v>25</v>
      </c>
      <c r="L835" s="3">
        <v>19</v>
      </c>
      <c r="M835" s="3">
        <v>5</v>
      </c>
      <c r="N835" s="3">
        <v>1</v>
      </c>
      <c r="O835" s="3">
        <v>0</v>
      </c>
      <c r="P835" s="3">
        <f t="shared" si="0"/>
        <v>0</v>
      </c>
      <c r="Q835" s="3">
        <f t="shared" si="1"/>
        <v>79.1666666666667</v>
      </c>
      <c r="R835" s="3">
        <f t="shared" si="2"/>
        <v>0</v>
      </c>
      <c r="S835" s="11"/>
    </row>
    <row r="836" ht="13.5" customHeight="1" spans="1:19">
      <c r="A836" s="4" t="s">
        <v>69</v>
      </c>
      <c r="B836" s="3">
        <v>1940</v>
      </c>
      <c r="C836" s="3">
        <v>11126</v>
      </c>
      <c r="D836" s="3">
        <v>0.1</v>
      </c>
      <c r="E836" s="4" t="s">
        <v>28</v>
      </c>
      <c r="F836" s="4" t="s">
        <v>70</v>
      </c>
      <c r="G836" s="3" t="s">
        <v>71</v>
      </c>
      <c r="H836" s="4" t="s">
        <v>40</v>
      </c>
      <c r="I836" s="4" t="s">
        <v>156</v>
      </c>
      <c r="J836" s="3">
        <v>3</v>
      </c>
      <c r="K836" s="3">
        <v>25</v>
      </c>
      <c r="L836" s="3">
        <v>19</v>
      </c>
      <c r="M836" s="3">
        <v>3</v>
      </c>
      <c r="N836" s="3">
        <v>0</v>
      </c>
      <c r="O836" s="3">
        <v>3</v>
      </c>
      <c r="P836" s="3">
        <f t="shared" si="0"/>
        <v>0</v>
      </c>
      <c r="Q836" s="3">
        <f t="shared" si="1"/>
        <v>76</v>
      </c>
      <c r="R836" s="3">
        <f t="shared" si="2"/>
        <v>12</v>
      </c>
      <c r="S836" s="11"/>
    </row>
    <row r="837" ht="13.5" customHeight="1" spans="1:19">
      <c r="A837" s="4" t="s">
        <v>69</v>
      </c>
      <c r="B837" s="3">
        <v>1940</v>
      </c>
      <c r="C837" s="3">
        <v>11126</v>
      </c>
      <c r="D837" s="3">
        <v>0.1</v>
      </c>
      <c r="E837" s="4" t="s">
        <v>28</v>
      </c>
      <c r="F837" s="4" t="s">
        <v>70</v>
      </c>
      <c r="G837" s="3" t="s">
        <v>71</v>
      </c>
      <c r="H837" s="4" t="s">
        <v>40</v>
      </c>
      <c r="I837" s="4" t="s">
        <v>156</v>
      </c>
      <c r="J837" s="3">
        <v>4</v>
      </c>
      <c r="K837" s="3">
        <v>25</v>
      </c>
      <c r="L837" s="3">
        <v>19</v>
      </c>
      <c r="M837" s="3">
        <v>1</v>
      </c>
      <c r="N837" s="3">
        <v>0</v>
      </c>
      <c r="O837" s="3">
        <v>5</v>
      </c>
      <c r="P837" s="3">
        <f t="shared" si="0"/>
        <v>0</v>
      </c>
      <c r="Q837" s="3">
        <f t="shared" si="1"/>
        <v>76</v>
      </c>
      <c r="R837" s="3">
        <f t="shared" si="2"/>
        <v>20</v>
      </c>
      <c r="S837" s="11"/>
    </row>
    <row r="838" ht="13.5" customHeight="1" spans="1:21">
      <c r="A838" s="4" t="s">
        <v>66</v>
      </c>
      <c r="B838" s="3">
        <v>1153</v>
      </c>
      <c r="C838" s="3">
        <v>7684</v>
      </c>
      <c r="D838" s="3">
        <v>0.1</v>
      </c>
      <c r="E838" s="4" t="s">
        <v>52</v>
      </c>
      <c r="F838" s="4" t="s">
        <v>80</v>
      </c>
      <c r="G838" s="4" t="s">
        <v>149</v>
      </c>
      <c r="H838" s="4" t="s">
        <v>40</v>
      </c>
      <c r="I838" s="4" t="s">
        <v>156</v>
      </c>
      <c r="J838" s="3">
        <v>1</v>
      </c>
      <c r="K838" s="3">
        <v>25</v>
      </c>
      <c r="L838" s="3">
        <v>25</v>
      </c>
      <c r="M838" s="3">
        <v>0</v>
      </c>
      <c r="N838" s="3">
        <v>0</v>
      </c>
      <c r="O838" s="3">
        <v>0</v>
      </c>
      <c r="P838" s="3">
        <f t="shared" si="0"/>
        <v>0</v>
      </c>
      <c r="Q838" s="3">
        <f t="shared" si="1"/>
        <v>100</v>
      </c>
      <c r="R838" s="3">
        <f t="shared" si="2"/>
        <v>0</v>
      </c>
      <c r="S838" s="11">
        <f>AVERAGE(Q838:Q841)</f>
        <v>98.9130434782609</v>
      </c>
      <c r="T838" s="7">
        <f>AVERAGE(R838:R841)</f>
        <v>0</v>
      </c>
      <c r="U838" s="8">
        <f>(L838+L839+L840+L841+O838+O839+O840+O841)/(K838+K839+K840+K841)*100</f>
        <v>96</v>
      </c>
    </row>
    <row r="839" ht="13.5" customHeight="1" spans="1:19">
      <c r="A839" s="4" t="s">
        <v>66</v>
      </c>
      <c r="B839" s="3">
        <v>1153</v>
      </c>
      <c r="C839" s="3">
        <v>7684</v>
      </c>
      <c r="D839" s="3">
        <v>0.1</v>
      </c>
      <c r="E839" s="4" t="s">
        <v>52</v>
      </c>
      <c r="F839" s="4" t="s">
        <v>80</v>
      </c>
      <c r="G839" s="4" t="s">
        <v>149</v>
      </c>
      <c r="H839" s="4" t="s">
        <v>40</v>
      </c>
      <c r="I839" s="4" t="s">
        <v>156</v>
      </c>
      <c r="J839" s="3">
        <v>2</v>
      </c>
      <c r="K839" s="3">
        <v>25</v>
      </c>
      <c r="L839" s="3">
        <v>22</v>
      </c>
      <c r="M839" s="3">
        <v>1</v>
      </c>
      <c r="N839" s="3">
        <v>2</v>
      </c>
      <c r="O839" s="3">
        <v>0</v>
      </c>
      <c r="P839" s="3">
        <f t="shared" si="0"/>
        <v>0</v>
      </c>
      <c r="Q839" s="3">
        <f t="shared" si="1"/>
        <v>95.6521739130435</v>
      </c>
      <c r="R839" s="3">
        <f t="shared" si="2"/>
        <v>0</v>
      </c>
      <c r="S839" s="11"/>
    </row>
    <row r="840" ht="13.5" customHeight="1" spans="1:19">
      <c r="A840" s="4" t="s">
        <v>66</v>
      </c>
      <c r="B840" s="3">
        <v>1153</v>
      </c>
      <c r="C840" s="3">
        <v>7684</v>
      </c>
      <c r="D840" s="3">
        <v>0.1</v>
      </c>
      <c r="E840" s="4" t="s">
        <v>52</v>
      </c>
      <c r="F840" s="4" t="s">
        <v>80</v>
      </c>
      <c r="G840" s="4" t="s">
        <v>149</v>
      </c>
      <c r="H840" s="4" t="s">
        <v>40</v>
      </c>
      <c r="I840" s="4" t="s">
        <v>156</v>
      </c>
      <c r="J840" s="3">
        <v>3</v>
      </c>
      <c r="K840" s="3">
        <v>25</v>
      </c>
      <c r="L840" s="3">
        <v>24</v>
      </c>
      <c r="M840" s="3">
        <v>0</v>
      </c>
      <c r="N840" s="3">
        <v>1</v>
      </c>
      <c r="O840" s="3">
        <v>0</v>
      </c>
      <c r="P840" s="3">
        <f t="shared" si="0"/>
        <v>0</v>
      </c>
      <c r="Q840" s="3">
        <f t="shared" si="1"/>
        <v>100</v>
      </c>
      <c r="R840" s="3">
        <f t="shared" si="2"/>
        <v>0</v>
      </c>
      <c r="S840" s="11"/>
    </row>
    <row r="841" ht="13.5" customHeight="1" spans="1:19">
      <c r="A841" s="4" t="s">
        <v>66</v>
      </c>
      <c r="B841" s="3">
        <v>1153</v>
      </c>
      <c r="C841" s="3">
        <v>7684</v>
      </c>
      <c r="D841" s="3">
        <v>0.1</v>
      </c>
      <c r="E841" s="4" t="s">
        <v>52</v>
      </c>
      <c r="F841" s="4" t="s">
        <v>80</v>
      </c>
      <c r="G841" s="4" t="s">
        <v>149</v>
      </c>
      <c r="H841" s="4" t="s">
        <v>40</v>
      </c>
      <c r="I841" s="4" t="s">
        <v>156</v>
      </c>
      <c r="J841" s="3">
        <v>4</v>
      </c>
      <c r="K841" s="3">
        <v>25</v>
      </c>
      <c r="L841" s="3">
        <v>25</v>
      </c>
      <c r="M841" s="3">
        <v>0</v>
      </c>
      <c r="N841" s="3">
        <v>0</v>
      </c>
      <c r="O841" s="3">
        <v>0</v>
      </c>
      <c r="P841" s="3">
        <f t="shared" si="0"/>
        <v>0</v>
      </c>
      <c r="Q841" s="3">
        <f t="shared" si="1"/>
        <v>100</v>
      </c>
      <c r="R841" s="3">
        <f t="shared" si="2"/>
        <v>0</v>
      </c>
      <c r="S841" s="11"/>
    </row>
    <row r="842" ht="13.5" customHeight="1" spans="1:21">
      <c r="A842" s="4" t="s">
        <v>91</v>
      </c>
      <c r="B842" s="3">
        <v>1007</v>
      </c>
      <c r="C842" s="3">
        <v>4939</v>
      </c>
      <c r="D842" s="3">
        <v>0.1</v>
      </c>
      <c r="E842" s="4" t="s">
        <v>52</v>
      </c>
      <c r="F842" s="4" t="s">
        <v>80</v>
      </c>
      <c r="G842" s="4" t="s">
        <v>92</v>
      </c>
      <c r="H842" s="4" t="s">
        <v>25</v>
      </c>
      <c r="I842" s="4" t="s">
        <v>156</v>
      </c>
      <c r="J842" s="3">
        <v>1</v>
      </c>
      <c r="K842" s="3">
        <v>25</v>
      </c>
      <c r="L842" s="3">
        <v>0</v>
      </c>
      <c r="M842" s="3">
        <v>4</v>
      </c>
      <c r="N842" s="3">
        <v>0</v>
      </c>
      <c r="O842" s="3">
        <v>21</v>
      </c>
      <c r="P842" s="3">
        <f t="shared" si="0"/>
        <v>0</v>
      </c>
      <c r="Q842" s="3">
        <f t="shared" si="1"/>
        <v>0</v>
      </c>
      <c r="R842" s="3">
        <f t="shared" si="2"/>
        <v>84</v>
      </c>
      <c r="S842" s="11">
        <f>AVERAGE(Q842:Q845)</f>
        <v>1</v>
      </c>
      <c r="T842" s="7">
        <f>AVERAGE(R842:R845)</f>
        <v>83</v>
      </c>
      <c r="U842" s="8">
        <f>(L842+L843+L844+L845+O842+O843+O844+O845)/(K842+K843+K844+K845)*100</f>
        <v>84</v>
      </c>
    </row>
    <row r="843" ht="13.5" customHeight="1" spans="1:19">
      <c r="A843" s="4" t="s">
        <v>91</v>
      </c>
      <c r="B843" s="3">
        <v>1007</v>
      </c>
      <c r="C843" s="3">
        <v>4939</v>
      </c>
      <c r="D843" s="3">
        <v>0.1</v>
      </c>
      <c r="E843" s="4" t="s">
        <v>52</v>
      </c>
      <c r="F843" s="4" t="s">
        <v>80</v>
      </c>
      <c r="G843" s="4" t="s">
        <v>92</v>
      </c>
      <c r="H843" s="4" t="s">
        <v>25</v>
      </c>
      <c r="I843" s="4" t="s">
        <v>156</v>
      </c>
      <c r="J843" s="3">
        <v>2</v>
      </c>
      <c r="K843" s="3">
        <v>25</v>
      </c>
      <c r="L843" s="3">
        <v>0</v>
      </c>
      <c r="M843" s="3">
        <v>4</v>
      </c>
      <c r="N843" s="3">
        <v>0</v>
      </c>
      <c r="O843" s="3">
        <v>21</v>
      </c>
      <c r="P843" s="3">
        <f t="shared" si="0"/>
        <v>0</v>
      </c>
      <c r="Q843" s="3">
        <f t="shared" si="1"/>
        <v>0</v>
      </c>
      <c r="R843" s="3">
        <f t="shared" si="2"/>
        <v>84</v>
      </c>
      <c r="S843" s="11"/>
    </row>
    <row r="844" ht="13.5" customHeight="1" spans="1:19">
      <c r="A844" s="4" t="s">
        <v>91</v>
      </c>
      <c r="B844" s="3">
        <v>1007</v>
      </c>
      <c r="C844" s="3">
        <v>4939</v>
      </c>
      <c r="D844" s="3">
        <v>0.1</v>
      </c>
      <c r="E844" s="4" t="s">
        <v>52</v>
      </c>
      <c r="F844" s="4" t="s">
        <v>80</v>
      </c>
      <c r="G844" s="4" t="s">
        <v>92</v>
      </c>
      <c r="H844" s="4" t="s">
        <v>25</v>
      </c>
      <c r="I844" s="4" t="s">
        <v>156</v>
      </c>
      <c r="J844" s="3">
        <v>3</v>
      </c>
      <c r="K844" s="3">
        <v>25</v>
      </c>
      <c r="L844" s="3">
        <v>0</v>
      </c>
      <c r="M844" s="3">
        <v>4</v>
      </c>
      <c r="N844" s="3">
        <v>0</v>
      </c>
      <c r="O844" s="3">
        <v>21</v>
      </c>
      <c r="P844" s="3">
        <f t="shared" si="0"/>
        <v>0</v>
      </c>
      <c r="Q844" s="3">
        <f t="shared" si="1"/>
        <v>0</v>
      </c>
      <c r="R844" s="3">
        <f t="shared" si="2"/>
        <v>84</v>
      </c>
      <c r="S844" s="11"/>
    </row>
    <row r="845" ht="13.5" customHeight="1" spans="1:19">
      <c r="A845" s="4" t="s">
        <v>91</v>
      </c>
      <c r="B845" s="3">
        <v>1007</v>
      </c>
      <c r="C845" s="3">
        <v>4939</v>
      </c>
      <c r="D845" s="3">
        <v>0.1</v>
      </c>
      <c r="E845" s="4" t="s">
        <v>52</v>
      </c>
      <c r="F845" s="4" t="s">
        <v>80</v>
      </c>
      <c r="G845" s="4" t="s">
        <v>92</v>
      </c>
      <c r="H845" s="4" t="s">
        <v>25</v>
      </c>
      <c r="I845" s="4" t="s">
        <v>156</v>
      </c>
      <c r="J845" s="3">
        <v>4</v>
      </c>
      <c r="K845" s="3">
        <v>25</v>
      </c>
      <c r="L845" s="3">
        <v>1</v>
      </c>
      <c r="M845" s="3">
        <v>4</v>
      </c>
      <c r="N845" s="3">
        <v>0</v>
      </c>
      <c r="O845" s="3">
        <v>20</v>
      </c>
      <c r="P845" s="3">
        <f t="shared" si="0"/>
        <v>0</v>
      </c>
      <c r="Q845" s="3">
        <f t="shared" si="1"/>
        <v>4</v>
      </c>
      <c r="R845" s="3">
        <f t="shared" si="2"/>
        <v>80</v>
      </c>
      <c r="S845" s="11"/>
    </row>
    <row r="846" ht="13.5" customHeight="1" spans="1:21">
      <c r="A846" s="4" t="s">
        <v>84</v>
      </c>
      <c r="B846" s="3">
        <v>1177</v>
      </c>
      <c r="C846" s="3">
        <v>8175</v>
      </c>
      <c r="D846" s="3">
        <v>0.1</v>
      </c>
      <c r="E846" s="4" t="s">
        <v>52</v>
      </c>
      <c r="F846" s="4" t="s">
        <v>80</v>
      </c>
      <c r="G846" s="4" t="s">
        <v>81</v>
      </c>
      <c r="H846" s="4" t="s">
        <v>40</v>
      </c>
      <c r="I846" s="4" t="s">
        <v>156</v>
      </c>
      <c r="J846" s="3">
        <v>1</v>
      </c>
      <c r="K846" s="3">
        <v>25</v>
      </c>
      <c r="L846" s="3">
        <v>24</v>
      </c>
      <c r="M846" s="3">
        <v>0</v>
      </c>
      <c r="N846" s="3">
        <v>0</v>
      </c>
      <c r="O846" s="3">
        <v>1</v>
      </c>
      <c r="P846" s="3">
        <f t="shared" si="0"/>
        <v>0</v>
      </c>
      <c r="Q846" s="3">
        <f t="shared" si="1"/>
        <v>96</v>
      </c>
      <c r="R846" s="3">
        <f t="shared" si="2"/>
        <v>4</v>
      </c>
      <c r="S846" s="11">
        <f>AVERAGE(Q846:Q849)</f>
        <v>98</v>
      </c>
      <c r="T846" s="7">
        <f>AVERAGE(R846:R849)</f>
        <v>2</v>
      </c>
      <c r="U846" s="8">
        <f>(L846+L847+L848+L849+O846+O847+O848+O849)/(K846+K847+K848+K849)*100</f>
        <v>100</v>
      </c>
    </row>
    <row r="847" ht="13.5" customHeight="1" spans="1:19">
      <c r="A847" s="4" t="s">
        <v>84</v>
      </c>
      <c r="B847" s="3">
        <v>1177</v>
      </c>
      <c r="C847" s="3">
        <v>8175</v>
      </c>
      <c r="D847" s="3">
        <v>0.1</v>
      </c>
      <c r="E847" s="4" t="s">
        <v>52</v>
      </c>
      <c r="F847" s="4" t="s">
        <v>80</v>
      </c>
      <c r="G847" s="4" t="s">
        <v>81</v>
      </c>
      <c r="H847" s="4" t="s">
        <v>40</v>
      </c>
      <c r="I847" s="4" t="s">
        <v>156</v>
      </c>
      <c r="J847" s="3">
        <v>2</v>
      </c>
      <c r="K847" s="3">
        <v>25</v>
      </c>
      <c r="L847" s="3">
        <v>25</v>
      </c>
      <c r="M847" s="3">
        <v>0</v>
      </c>
      <c r="N847" s="3">
        <v>0</v>
      </c>
      <c r="O847" s="3">
        <v>0</v>
      </c>
      <c r="P847" s="3">
        <f t="shared" si="0"/>
        <v>0</v>
      </c>
      <c r="Q847" s="3">
        <f t="shared" si="1"/>
        <v>100</v>
      </c>
      <c r="R847" s="3">
        <f t="shared" si="2"/>
        <v>0</v>
      </c>
      <c r="S847" s="11"/>
    </row>
    <row r="848" ht="13.5" customHeight="1" spans="1:19">
      <c r="A848" s="4" t="s">
        <v>84</v>
      </c>
      <c r="B848" s="3">
        <v>1177</v>
      </c>
      <c r="C848" s="3">
        <v>8175</v>
      </c>
      <c r="D848" s="3">
        <v>0.1</v>
      </c>
      <c r="E848" s="4" t="s">
        <v>52</v>
      </c>
      <c r="F848" s="4" t="s">
        <v>80</v>
      </c>
      <c r="G848" s="4" t="s">
        <v>81</v>
      </c>
      <c r="H848" s="4" t="s">
        <v>40</v>
      </c>
      <c r="I848" s="4" t="s">
        <v>156</v>
      </c>
      <c r="J848" s="3">
        <v>3</v>
      </c>
      <c r="K848" s="3">
        <v>25</v>
      </c>
      <c r="L848" s="3">
        <v>25</v>
      </c>
      <c r="M848" s="3">
        <v>0</v>
      </c>
      <c r="N848" s="3">
        <v>0</v>
      </c>
      <c r="O848" s="3">
        <v>0</v>
      </c>
      <c r="P848" s="3">
        <f t="shared" si="0"/>
        <v>0</v>
      </c>
      <c r="Q848" s="3">
        <f t="shared" si="1"/>
        <v>100</v>
      </c>
      <c r="R848" s="3">
        <f t="shared" si="2"/>
        <v>0</v>
      </c>
      <c r="S848" s="11"/>
    </row>
    <row r="849" ht="13.5" customHeight="1" spans="1:19">
      <c r="A849" s="4" t="s">
        <v>84</v>
      </c>
      <c r="B849" s="3">
        <v>1177</v>
      </c>
      <c r="C849" s="3">
        <v>8175</v>
      </c>
      <c r="D849" s="3">
        <v>0.1</v>
      </c>
      <c r="E849" s="4" t="s">
        <v>52</v>
      </c>
      <c r="F849" s="4" t="s">
        <v>80</v>
      </c>
      <c r="G849" s="4" t="s">
        <v>81</v>
      </c>
      <c r="H849" s="4" t="s">
        <v>40</v>
      </c>
      <c r="I849" s="4" t="s">
        <v>156</v>
      </c>
      <c r="J849" s="3">
        <v>4</v>
      </c>
      <c r="K849" s="3">
        <v>25</v>
      </c>
      <c r="L849" s="3">
        <v>24</v>
      </c>
      <c r="M849" s="3">
        <v>0</v>
      </c>
      <c r="N849" s="3">
        <v>0</v>
      </c>
      <c r="O849" s="3">
        <v>1</v>
      </c>
      <c r="P849" s="3">
        <f t="shared" si="0"/>
        <v>0</v>
      </c>
      <c r="Q849" s="3">
        <f t="shared" si="1"/>
        <v>96</v>
      </c>
      <c r="R849" s="3">
        <f t="shared" si="2"/>
        <v>4</v>
      </c>
      <c r="S849" s="11"/>
    </row>
    <row r="850" ht="13.5" customHeight="1" spans="1:21">
      <c r="A850" s="4" t="s">
        <v>60</v>
      </c>
      <c r="B850" s="3">
        <v>1330</v>
      </c>
      <c r="C850" s="3">
        <v>9133</v>
      </c>
      <c r="D850" s="3">
        <v>0.1</v>
      </c>
      <c r="E850" s="4" t="s">
        <v>52</v>
      </c>
      <c r="F850" s="4" t="s">
        <v>80</v>
      </c>
      <c r="G850" s="4" t="s">
        <v>59</v>
      </c>
      <c r="H850" s="4" t="s">
        <v>25</v>
      </c>
      <c r="I850" s="4" t="s">
        <v>156</v>
      </c>
      <c r="J850" s="3">
        <v>1</v>
      </c>
      <c r="K850" s="3">
        <v>25</v>
      </c>
      <c r="L850" s="3">
        <v>25</v>
      </c>
      <c r="M850" s="3">
        <v>0</v>
      </c>
      <c r="N850" s="3">
        <v>0</v>
      </c>
      <c r="O850" s="3">
        <v>0</v>
      </c>
      <c r="P850" s="3">
        <f t="shared" si="0"/>
        <v>0</v>
      </c>
      <c r="Q850" s="3">
        <f t="shared" si="1"/>
        <v>100</v>
      </c>
      <c r="R850" s="3">
        <f t="shared" si="2"/>
        <v>0</v>
      </c>
      <c r="S850" s="11">
        <f>AVERAGE(Q850:Q853)</f>
        <v>100</v>
      </c>
      <c r="T850" s="7">
        <f>AVERAGE(R850:R853)</f>
        <v>0</v>
      </c>
      <c r="U850" s="8">
        <f>(L850+L851+L852+L853+O850+O851+O852+O853)/(K850+K851+K852+K853)*100</f>
        <v>98</v>
      </c>
    </row>
    <row r="851" ht="13.5" customHeight="1" spans="1:19">
      <c r="A851" s="4" t="s">
        <v>60</v>
      </c>
      <c r="B851" s="3">
        <v>1330</v>
      </c>
      <c r="C851" s="3">
        <v>9133</v>
      </c>
      <c r="D851" s="3">
        <v>0.1</v>
      </c>
      <c r="E851" s="4" t="s">
        <v>52</v>
      </c>
      <c r="F851" s="4" t="s">
        <v>80</v>
      </c>
      <c r="G851" s="4" t="s">
        <v>59</v>
      </c>
      <c r="H851" s="4" t="s">
        <v>25</v>
      </c>
      <c r="I851" s="4" t="s">
        <v>156</v>
      </c>
      <c r="J851" s="3">
        <v>2</v>
      </c>
      <c r="K851" s="3">
        <v>25</v>
      </c>
      <c r="L851" s="3">
        <v>25</v>
      </c>
      <c r="M851" s="3">
        <v>0</v>
      </c>
      <c r="N851" s="3">
        <v>0</v>
      </c>
      <c r="O851" s="3">
        <v>0</v>
      </c>
      <c r="P851" s="3">
        <f t="shared" si="0"/>
        <v>0</v>
      </c>
      <c r="Q851" s="3">
        <f t="shared" si="1"/>
        <v>100</v>
      </c>
      <c r="R851" s="3">
        <f t="shared" si="2"/>
        <v>0</v>
      </c>
      <c r="S851" s="11"/>
    </row>
    <row r="852" ht="13.5" customHeight="1" spans="1:19">
      <c r="A852" s="4" t="s">
        <v>60</v>
      </c>
      <c r="B852" s="3">
        <v>1330</v>
      </c>
      <c r="C852" s="3">
        <v>9133</v>
      </c>
      <c r="D852" s="3">
        <v>0.1</v>
      </c>
      <c r="E852" s="4" t="s">
        <v>52</v>
      </c>
      <c r="F852" s="4" t="s">
        <v>80</v>
      </c>
      <c r="G852" s="4" t="s">
        <v>59</v>
      </c>
      <c r="H852" s="4" t="s">
        <v>25</v>
      </c>
      <c r="I852" s="4" t="s">
        <v>156</v>
      </c>
      <c r="J852" s="3">
        <v>3</v>
      </c>
      <c r="K852" s="3">
        <v>25</v>
      </c>
      <c r="L852" s="3">
        <v>23</v>
      </c>
      <c r="M852" s="3">
        <v>0</v>
      </c>
      <c r="N852" s="3">
        <v>2</v>
      </c>
      <c r="O852" s="3">
        <v>0</v>
      </c>
      <c r="P852" s="3">
        <f t="shared" si="0"/>
        <v>0</v>
      </c>
      <c r="Q852" s="3">
        <f t="shared" si="1"/>
        <v>100</v>
      </c>
      <c r="R852" s="3">
        <f t="shared" si="2"/>
        <v>0</v>
      </c>
      <c r="S852" s="11"/>
    </row>
    <row r="853" ht="13.5" customHeight="1" spans="1:19">
      <c r="A853" s="4" t="s">
        <v>60</v>
      </c>
      <c r="B853" s="3">
        <v>1330</v>
      </c>
      <c r="C853" s="3">
        <v>9133</v>
      </c>
      <c r="D853" s="3">
        <v>0.1</v>
      </c>
      <c r="E853" s="4" t="s">
        <v>52</v>
      </c>
      <c r="F853" s="4" t="s">
        <v>80</v>
      </c>
      <c r="G853" s="4" t="s">
        <v>59</v>
      </c>
      <c r="H853" s="4" t="s">
        <v>25</v>
      </c>
      <c r="I853" s="4" t="s">
        <v>156</v>
      </c>
      <c r="J853" s="3">
        <v>4</v>
      </c>
      <c r="K853" s="3">
        <v>25</v>
      </c>
      <c r="L853" s="3">
        <v>25</v>
      </c>
      <c r="M853" s="3">
        <v>0</v>
      </c>
      <c r="N853" s="3">
        <v>0</v>
      </c>
      <c r="O853" s="3">
        <v>0</v>
      </c>
      <c r="P853" s="3">
        <f t="shared" si="0"/>
        <v>0</v>
      </c>
      <c r="Q853" s="3">
        <f t="shared" si="1"/>
        <v>100</v>
      </c>
      <c r="R853" s="3">
        <f t="shared" si="2"/>
        <v>0</v>
      </c>
      <c r="S853" s="11"/>
    </row>
    <row r="854" ht="13.5" customHeight="1" spans="1:21">
      <c r="A854" s="4" t="s">
        <v>85</v>
      </c>
      <c r="B854" s="3">
        <v>1167</v>
      </c>
      <c r="C854" s="3">
        <v>7918</v>
      </c>
      <c r="D854" s="3">
        <v>0.1</v>
      </c>
      <c r="E854" s="4" t="s">
        <v>52</v>
      </c>
      <c r="F854" s="4" t="s">
        <v>80</v>
      </c>
      <c r="G854" s="4" t="s">
        <v>59</v>
      </c>
      <c r="H854" s="4" t="s">
        <v>25</v>
      </c>
      <c r="I854" s="4" t="s">
        <v>156</v>
      </c>
      <c r="J854" s="3">
        <v>1</v>
      </c>
      <c r="K854" s="3">
        <v>25</v>
      </c>
      <c r="L854" s="3">
        <v>24</v>
      </c>
      <c r="M854" s="3">
        <v>0</v>
      </c>
      <c r="N854" s="3">
        <v>1</v>
      </c>
      <c r="O854" s="3">
        <v>0</v>
      </c>
      <c r="P854" s="3">
        <f t="shared" si="0"/>
        <v>0</v>
      </c>
      <c r="Q854" s="3">
        <f t="shared" si="1"/>
        <v>100</v>
      </c>
      <c r="R854" s="3">
        <f t="shared" si="2"/>
        <v>0</v>
      </c>
      <c r="S854" s="11">
        <f>AVERAGE(Q854:Q857)</f>
        <v>100</v>
      </c>
      <c r="T854" s="7">
        <f>AVERAGE(R854:R857)</f>
        <v>0</v>
      </c>
      <c r="U854" s="8">
        <f>(L854+L855+L856+L857+O854+O855+O856+O857)/(K854+K855+K856+K857)*100</f>
        <v>96</v>
      </c>
    </row>
    <row r="855" ht="13.5" customHeight="1" spans="1:19">
      <c r="A855" s="4" t="s">
        <v>85</v>
      </c>
      <c r="B855" s="3">
        <v>1167</v>
      </c>
      <c r="C855" s="3">
        <v>7918</v>
      </c>
      <c r="D855" s="3">
        <v>0.1</v>
      </c>
      <c r="E855" s="4" t="s">
        <v>52</v>
      </c>
      <c r="F855" s="4" t="s">
        <v>80</v>
      </c>
      <c r="G855" s="4" t="s">
        <v>59</v>
      </c>
      <c r="H855" s="4" t="s">
        <v>25</v>
      </c>
      <c r="I855" s="4" t="s">
        <v>156</v>
      </c>
      <c r="J855" s="3">
        <v>2</v>
      </c>
      <c r="K855" s="3">
        <v>25</v>
      </c>
      <c r="L855" s="3">
        <v>22</v>
      </c>
      <c r="M855" s="3">
        <v>0</v>
      </c>
      <c r="N855" s="3">
        <v>3</v>
      </c>
      <c r="O855" s="3">
        <v>0</v>
      </c>
      <c r="P855" s="3">
        <f t="shared" si="0"/>
        <v>0</v>
      </c>
      <c r="Q855" s="3">
        <f t="shared" si="1"/>
        <v>100</v>
      </c>
      <c r="R855" s="3">
        <f t="shared" si="2"/>
        <v>0</v>
      </c>
      <c r="S855" s="11"/>
    </row>
    <row r="856" ht="13.5" customHeight="1" spans="1:19">
      <c r="A856" s="4" t="s">
        <v>85</v>
      </c>
      <c r="B856" s="3">
        <v>1167</v>
      </c>
      <c r="C856" s="3">
        <v>7918</v>
      </c>
      <c r="D856" s="3">
        <v>0.1</v>
      </c>
      <c r="E856" s="4" t="s">
        <v>52</v>
      </c>
      <c r="F856" s="4" t="s">
        <v>80</v>
      </c>
      <c r="G856" s="4" t="s">
        <v>59</v>
      </c>
      <c r="H856" s="4" t="s">
        <v>25</v>
      </c>
      <c r="I856" s="4" t="s">
        <v>156</v>
      </c>
      <c r="J856" s="3">
        <v>3</v>
      </c>
      <c r="K856" s="3">
        <v>25</v>
      </c>
      <c r="L856" s="3">
        <v>25</v>
      </c>
      <c r="M856" s="3">
        <v>0</v>
      </c>
      <c r="N856" s="3">
        <v>0</v>
      </c>
      <c r="O856" s="3">
        <v>0</v>
      </c>
      <c r="P856" s="3">
        <f t="shared" si="0"/>
        <v>0</v>
      </c>
      <c r="Q856" s="3">
        <f t="shared" si="1"/>
        <v>100</v>
      </c>
      <c r="R856" s="3">
        <f t="shared" si="2"/>
        <v>0</v>
      </c>
      <c r="S856" s="11"/>
    </row>
    <row r="857" ht="13.5" customHeight="1" spans="1:19">
      <c r="A857" s="4" t="s">
        <v>85</v>
      </c>
      <c r="B857" s="3">
        <v>1167</v>
      </c>
      <c r="C857" s="3">
        <v>7918</v>
      </c>
      <c r="D857" s="3">
        <v>0.1</v>
      </c>
      <c r="E857" s="4" t="s">
        <v>52</v>
      </c>
      <c r="F857" s="4" t="s">
        <v>80</v>
      </c>
      <c r="G857" s="4" t="s">
        <v>59</v>
      </c>
      <c r="H857" s="4" t="s">
        <v>25</v>
      </c>
      <c r="I857" s="4" t="s">
        <v>156</v>
      </c>
      <c r="J857" s="3">
        <v>4</v>
      </c>
      <c r="K857" s="3">
        <v>25</v>
      </c>
      <c r="L857" s="3">
        <v>25</v>
      </c>
      <c r="M857" s="3">
        <v>0</v>
      </c>
      <c r="N857" s="3">
        <v>0</v>
      </c>
      <c r="O857" s="3">
        <v>0</v>
      </c>
      <c r="P857" s="3">
        <f t="shared" si="0"/>
        <v>0</v>
      </c>
      <c r="Q857" s="3">
        <f t="shared" si="1"/>
        <v>100</v>
      </c>
      <c r="R857" s="3">
        <f t="shared" si="2"/>
        <v>0</v>
      </c>
      <c r="S857" s="11"/>
    </row>
    <row r="858" ht="13.5" customHeight="1" spans="1:21">
      <c r="A858" s="4" t="s">
        <v>21</v>
      </c>
      <c r="B858" s="3">
        <v>1236</v>
      </c>
      <c r="C858" s="3">
        <v>8460</v>
      </c>
      <c r="D858" s="3">
        <v>1</v>
      </c>
      <c r="E858" s="4" t="s">
        <v>52</v>
      </c>
      <c r="F858" s="4" t="s">
        <v>80</v>
      </c>
      <c r="G858" s="4" t="s">
        <v>81</v>
      </c>
      <c r="H858" s="4" t="s">
        <v>40</v>
      </c>
      <c r="I858" s="4" t="s">
        <v>156</v>
      </c>
      <c r="J858" s="3">
        <v>1</v>
      </c>
      <c r="K858" s="3">
        <v>25</v>
      </c>
      <c r="L858" s="3">
        <v>25</v>
      </c>
      <c r="M858" s="3">
        <v>0</v>
      </c>
      <c r="N858" s="3">
        <v>0</v>
      </c>
      <c r="O858" s="3">
        <v>0</v>
      </c>
      <c r="P858" s="3">
        <f t="shared" si="0"/>
        <v>0</v>
      </c>
      <c r="Q858" s="3">
        <f t="shared" si="1"/>
        <v>100</v>
      </c>
      <c r="R858" s="3">
        <f t="shared" si="2"/>
        <v>0</v>
      </c>
      <c r="S858" s="11">
        <f>AVERAGE(Q858:Q861)</f>
        <v>100</v>
      </c>
      <c r="T858" s="7">
        <f>AVERAGE(R858:R861)</f>
        <v>0</v>
      </c>
      <c r="U858" s="8">
        <f>(L858+L859+L860+L861+O858+O859+O860+O861)/(K858+K859+K860+K861)*100</f>
        <v>98.989898989899</v>
      </c>
    </row>
    <row r="859" ht="13.5" customHeight="1" spans="1:19">
      <c r="A859" s="4" t="s">
        <v>21</v>
      </c>
      <c r="B859" s="3">
        <v>1236</v>
      </c>
      <c r="C859" s="3">
        <v>8460</v>
      </c>
      <c r="D859" s="3">
        <v>1</v>
      </c>
      <c r="E859" s="4" t="s">
        <v>52</v>
      </c>
      <c r="F859" s="4" t="s">
        <v>80</v>
      </c>
      <c r="G859" s="4" t="s">
        <v>81</v>
      </c>
      <c r="H859" s="4" t="s">
        <v>40</v>
      </c>
      <c r="I859" s="4" t="s">
        <v>156</v>
      </c>
      <c r="J859" s="3">
        <v>2</v>
      </c>
      <c r="K859" s="3">
        <v>25</v>
      </c>
      <c r="L859" s="3">
        <v>24</v>
      </c>
      <c r="M859" s="3">
        <v>0</v>
      </c>
      <c r="N859" s="3">
        <v>1</v>
      </c>
      <c r="O859" s="3">
        <v>0</v>
      </c>
      <c r="P859" s="3">
        <f t="shared" si="0"/>
        <v>0</v>
      </c>
      <c r="Q859" s="3">
        <f t="shared" si="1"/>
        <v>100</v>
      </c>
      <c r="R859" s="3">
        <f t="shared" si="2"/>
        <v>0</v>
      </c>
      <c r="S859" s="11"/>
    </row>
    <row r="860" ht="13.5" customHeight="1" spans="1:19">
      <c r="A860" s="4" t="s">
        <v>21</v>
      </c>
      <c r="B860" s="3">
        <v>1236</v>
      </c>
      <c r="C860" s="3">
        <v>8460</v>
      </c>
      <c r="D860" s="3">
        <v>1</v>
      </c>
      <c r="E860" s="4" t="s">
        <v>52</v>
      </c>
      <c r="F860" s="4" t="s">
        <v>80</v>
      </c>
      <c r="G860" s="4" t="s">
        <v>81</v>
      </c>
      <c r="H860" s="4" t="s">
        <v>40</v>
      </c>
      <c r="I860" s="4" t="s">
        <v>156</v>
      </c>
      <c r="J860" s="3">
        <v>3</v>
      </c>
      <c r="K860" s="3">
        <v>25</v>
      </c>
      <c r="L860" s="3">
        <v>25</v>
      </c>
      <c r="M860" s="3">
        <v>0</v>
      </c>
      <c r="N860" s="3">
        <v>0</v>
      </c>
      <c r="O860" s="3">
        <v>0</v>
      </c>
      <c r="P860" s="3">
        <f t="shared" si="0"/>
        <v>0</v>
      </c>
      <c r="Q860" s="3">
        <f t="shared" si="1"/>
        <v>100</v>
      </c>
      <c r="R860" s="3">
        <f t="shared" si="2"/>
        <v>0</v>
      </c>
      <c r="S860" s="11"/>
    </row>
    <row r="861" ht="13.5" customHeight="1" spans="1:19">
      <c r="A861" s="4" t="s">
        <v>21</v>
      </c>
      <c r="B861" s="3">
        <v>1236</v>
      </c>
      <c r="C861" s="3">
        <v>8460</v>
      </c>
      <c r="D861" s="3">
        <v>1</v>
      </c>
      <c r="E861" s="4" t="s">
        <v>52</v>
      </c>
      <c r="F861" s="4" t="s">
        <v>80</v>
      </c>
      <c r="G861" s="4" t="s">
        <v>81</v>
      </c>
      <c r="H861" s="4" t="s">
        <v>40</v>
      </c>
      <c r="I861" s="4" t="s">
        <v>156</v>
      </c>
      <c r="J861" s="3">
        <v>4</v>
      </c>
      <c r="K861" s="3">
        <v>24</v>
      </c>
      <c r="L861" s="3">
        <v>24</v>
      </c>
      <c r="M861" s="3">
        <v>0</v>
      </c>
      <c r="N861" s="3">
        <v>0</v>
      </c>
      <c r="O861" s="3">
        <v>0</v>
      </c>
      <c r="P861" s="3">
        <f t="shared" si="0"/>
        <v>0</v>
      </c>
      <c r="Q861" s="3">
        <f t="shared" si="1"/>
        <v>100</v>
      </c>
      <c r="R861" s="3">
        <f t="shared" si="2"/>
        <v>0</v>
      </c>
      <c r="S861" s="11"/>
    </row>
    <row r="862" ht="13.5" customHeight="1" spans="1:21">
      <c r="A862" s="4" t="s">
        <v>77</v>
      </c>
      <c r="B862" s="3">
        <v>1746</v>
      </c>
      <c r="C862" s="3">
        <v>10331</v>
      </c>
      <c r="D862" s="3">
        <v>0.1</v>
      </c>
      <c r="E862" s="4" t="s">
        <v>88</v>
      </c>
      <c r="F862" s="4" t="s">
        <v>89</v>
      </c>
      <c r="G862" s="4" t="s">
        <v>90</v>
      </c>
      <c r="H862" s="4" t="s">
        <v>25</v>
      </c>
      <c r="I862" s="4" t="s">
        <v>156</v>
      </c>
      <c r="J862" s="3">
        <v>1</v>
      </c>
      <c r="K862" s="3">
        <v>25</v>
      </c>
      <c r="L862" s="3">
        <v>4</v>
      </c>
      <c r="M862" s="3">
        <v>0</v>
      </c>
      <c r="N862" s="3">
        <v>0</v>
      </c>
      <c r="O862" s="3">
        <v>21</v>
      </c>
      <c r="P862" s="3">
        <f t="shared" si="0"/>
        <v>0</v>
      </c>
      <c r="Q862" s="3">
        <f t="shared" si="1"/>
        <v>16</v>
      </c>
      <c r="R862" s="3">
        <f t="shared" si="2"/>
        <v>84</v>
      </c>
      <c r="S862" s="11">
        <f>AVERAGE(Q862:Q865)</f>
        <v>8</v>
      </c>
      <c r="T862" s="7">
        <f>AVERAGE(R862:R865)</f>
        <v>92</v>
      </c>
      <c r="U862" s="8">
        <f>(L862+L863+L864+L865+O862+O863+O864+O865)/(K862+K863+K864+K865)*100</f>
        <v>100</v>
      </c>
    </row>
    <row r="863" ht="13.5" customHeight="1" spans="1:19">
      <c r="A863" s="4" t="s">
        <v>77</v>
      </c>
      <c r="B863" s="3">
        <v>1746</v>
      </c>
      <c r="C863" s="3">
        <v>10331</v>
      </c>
      <c r="D863" s="3">
        <v>0.1</v>
      </c>
      <c r="E863" s="4" t="s">
        <v>88</v>
      </c>
      <c r="F863" s="4" t="s">
        <v>89</v>
      </c>
      <c r="G863" s="4" t="s">
        <v>90</v>
      </c>
      <c r="H863" s="4" t="s">
        <v>25</v>
      </c>
      <c r="I863" s="4" t="s">
        <v>156</v>
      </c>
      <c r="J863" s="3">
        <v>2</v>
      </c>
      <c r="K863" s="3">
        <v>25</v>
      </c>
      <c r="L863" s="3">
        <v>4</v>
      </c>
      <c r="M863" s="3">
        <v>0</v>
      </c>
      <c r="N863" s="3">
        <v>0</v>
      </c>
      <c r="O863" s="3">
        <v>21</v>
      </c>
      <c r="P863" s="3">
        <f t="shared" si="0"/>
        <v>0</v>
      </c>
      <c r="Q863" s="3">
        <f t="shared" si="1"/>
        <v>16</v>
      </c>
      <c r="R863" s="3">
        <f t="shared" si="2"/>
        <v>84</v>
      </c>
      <c r="S863" s="11"/>
    </row>
    <row r="864" ht="13.5" customHeight="1" spans="1:19">
      <c r="A864" s="4" t="s">
        <v>77</v>
      </c>
      <c r="B864" s="3">
        <v>1746</v>
      </c>
      <c r="C864" s="3">
        <v>10331</v>
      </c>
      <c r="D864" s="3">
        <v>0.1</v>
      </c>
      <c r="E864" s="4" t="s">
        <v>88</v>
      </c>
      <c r="F864" s="4" t="s">
        <v>89</v>
      </c>
      <c r="G864" s="4" t="s">
        <v>90</v>
      </c>
      <c r="H864" s="4" t="s">
        <v>25</v>
      </c>
      <c r="I864" s="4" t="s">
        <v>156</v>
      </c>
      <c r="J864" s="3">
        <v>3</v>
      </c>
      <c r="K864" s="3">
        <v>25</v>
      </c>
      <c r="L864" s="3">
        <v>0</v>
      </c>
      <c r="M864" s="3">
        <v>0</v>
      </c>
      <c r="N864" s="3">
        <v>0</v>
      </c>
      <c r="O864" s="3">
        <v>25</v>
      </c>
      <c r="P864" s="3">
        <f t="shared" si="0"/>
        <v>0</v>
      </c>
      <c r="Q864" s="3">
        <f t="shared" si="1"/>
        <v>0</v>
      </c>
      <c r="R864" s="3">
        <f t="shared" si="2"/>
        <v>100</v>
      </c>
      <c r="S864" s="11"/>
    </row>
    <row r="865" ht="13.5" customHeight="1" spans="1:19">
      <c r="A865" s="4" t="s">
        <v>77</v>
      </c>
      <c r="B865" s="3">
        <v>1746</v>
      </c>
      <c r="C865" s="3">
        <v>10331</v>
      </c>
      <c r="D865" s="3">
        <v>0.1</v>
      </c>
      <c r="E865" s="4" t="s">
        <v>88</v>
      </c>
      <c r="F865" s="4" t="s">
        <v>89</v>
      </c>
      <c r="G865" s="4" t="s">
        <v>90</v>
      </c>
      <c r="H865" s="4" t="s">
        <v>25</v>
      </c>
      <c r="I865" s="4" t="s">
        <v>156</v>
      </c>
      <c r="J865" s="3">
        <v>4</v>
      </c>
      <c r="K865" s="3">
        <v>25</v>
      </c>
      <c r="L865" s="3">
        <v>0</v>
      </c>
      <c r="M865" s="3">
        <v>0</v>
      </c>
      <c r="N865" s="3">
        <v>0</v>
      </c>
      <c r="O865" s="3">
        <v>25</v>
      </c>
      <c r="P865" s="3">
        <f t="shared" si="0"/>
        <v>0</v>
      </c>
      <c r="Q865" s="3">
        <f t="shared" si="1"/>
        <v>0</v>
      </c>
      <c r="R865" s="3">
        <f t="shared" si="2"/>
        <v>100</v>
      </c>
      <c r="S865" s="11"/>
    </row>
    <row r="866" ht="13.5" customHeight="1" spans="1:21">
      <c r="A866" s="4" t="s">
        <v>41</v>
      </c>
      <c r="B866" s="3">
        <v>1073</v>
      </c>
      <c r="C866" s="3">
        <v>6256</v>
      </c>
      <c r="D866" s="3">
        <v>0.1</v>
      </c>
      <c r="E866" s="4" t="s">
        <v>52</v>
      </c>
      <c r="F866" s="4" t="s">
        <v>80</v>
      </c>
      <c r="G866" s="4" t="s">
        <v>59</v>
      </c>
      <c r="H866" s="4" t="s">
        <v>25</v>
      </c>
      <c r="I866" s="4" t="s">
        <v>156</v>
      </c>
      <c r="J866" s="3">
        <v>1</v>
      </c>
      <c r="K866" s="3">
        <v>25</v>
      </c>
      <c r="L866" s="3">
        <v>23</v>
      </c>
      <c r="M866" s="3">
        <v>1</v>
      </c>
      <c r="N866" s="3">
        <v>0</v>
      </c>
      <c r="O866" s="3">
        <v>1</v>
      </c>
      <c r="P866" s="3">
        <f t="shared" si="0"/>
        <v>0</v>
      </c>
      <c r="Q866" s="3">
        <f t="shared" si="1"/>
        <v>92</v>
      </c>
      <c r="R866" s="3">
        <f t="shared" si="2"/>
        <v>4</v>
      </c>
      <c r="S866" s="11">
        <f>AVERAGE(Q866:Q869)</f>
        <v>93.8713768115942</v>
      </c>
      <c r="T866" s="7">
        <f>AVERAGE(R866:R869)</f>
        <v>2.08695652173913</v>
      </c>
      <c r="U866" s="8">
        <f>(L866+L867+L868+L869+O866+O867+O868+O869)/(K866+K867+K868+K869)*100</f>
        <v>93</v>
      </c>
    </row>
    <row r="867" ht="13.5" customHeight="1" spans="1:19">
      <c r="A867" s="4" t="s">
        <v>41</v>
      </c>
      <c r="B867" s="3">
        <v>1073</v>
      </c>
      <c r="C867" s="3">
        <v>6256</v>
      </c>
      <c r="D867" s="3">
        <v>0.1</v>
      </c>
      <c r="E867" s="4" t="s">
        <v>52</v>
      </c>
      <c r="F867" s="4" t="s">
        <v>80</v>
      </c>
      <c r="G867" s="4" t="s">
        <v>59</v>
      </c>
      <c r="H867" s="4" t="s">
        <v>25</v>
      </c>
      <c r="I867" s="4" t="s">
        <v>156</v>
      </c>
      <c r="J867" s="3">
        <v>2</v>
      </c>
      <c r="K867" s="3">
        <v>25</v>
      </c>
      <c r="L867" s="3">
        <v>23</v>
      </c>
      <c r="M867" s="3">
        <v>2</v>
      </c>
      <c r="N867" s="3">
        <v>0</v>
      </c>
      <c r="O867" s="3">
        <v>0</v>
      </c>
      <c r="P867" s="3">
        <f t="shared" si="0"/>
        <v>0</v>
      </c>
      <c r="Q867" s="3">
        <f t="shared" si="1"/>
        <v>92</v>
      </c>
      <c r="R867" s="3">
        <f t="shared" si="2"/>
        <v>0</v>
      </c>
      <c r="S867" s="11"/>
    </row>
    <row r="868" ht="13.5" customHeight="1" spans="1:19">
      <c r="A868" s="4" t="s">
        <v>41</v>
      </c>
      <c r="B868" s="3">
        <v>1073</v>
      </c>
      <c r="C868" s="3">
        <v>6256</v>
      </c>
      <c r="D868" s="3">
        <v>0.1</v>
      </c>
      <c r="E868" s="4" t="s">
        <v>52</v>
      </c>
      <c r="F868" s="4" t="s">
        <v>80</v>
      </c>
      <c r="G868" s="4" t="s">
        <v>59</v>
      </c>
      <c r="H868" s="4" t="s">
        <v>25</v>
      </c>
      <c r="I868" s="4" t="s">
        <v>156</v>
      </c>
      <c r="J868" s="3">
        <v>3</v>
      </c>
      <c r="K868" s="3">
        <v>25</v>
      </c>
      <c r="L868" s="3">
        <v>22</v>
      </c>
      <c r="M868" s="3">
        <v>0</v>
      </c>
      <c r="N868" s="3">
        <v>2</v>
      </c>
      <c r="O868" s="3">
        <v>1</v>
      </c>
      <c r="P868" s="3">
        <f t="shared" si="0"/>
        <v>0</v>
      </c>
      <c r="Q868" s="3">
        <f t="shared" si="1"/>
        <v>95.6521739130435</v>
      </c>
      <c r="R868" s="3">
        <f t="shared" si="2"/>
        <v>4.34782608695652</v>
      </c>
      <c r="S868" s="11"/>
    </row>
    <row r="869" ht="13.5" customHeight="1" spans="1:19">
      <c r="A869" s="4" t="s">
        <v>41</v>
      </c>
      <c r="B869" s="3">
        <v>1073</v>
      </c>
      <c r="C869" s="3">
        <v>6256</v>
      </c>
      <c r="D869" s="3">
        <v>0.1</v>
      </c>
      <c r="E869" s="4" t="s">
        <v>52</v>
      </c>
      <c r="F869" s="4" t="s">
        <v>80</v>
      </c>
      <c r="G869" s="4" t="s">
        <v>59</v>
      </c>
      <c r="H869" s="4" t="s">
        <v>25</v>
      </c>
      <c r="I869" s="4" t="s">
        <v>156</v>
      </c>
      <c r="J869" s="3">
        <v>4</v>
      </c>
      <c r="K869" s="3">
        <v>25</v>
      </c>
      <c r="L869" s="3">
        <v>23</v>
      </c>
      <c r="M869" s="3">
        <v>1</v>
      </c>
      <c r="N869" s="3">
        <v>1</v>
      </c>
      <c r="O869" s="3">
        <v>0</v>
      </c>
      <c r="P869" s="3">
        <f t="shared" si="0"/>
        <v>0</v>
      </c>
      <c r="Q869" s="3">
        <f t="shared" si="1"/>
        <v>95.8333333333333</v>
      </c>
      <c r="R869" s="3">
        <f t="shared" si="2"/>
        <v>0</v>
      </c>
      <c r="S869" s="11"/>
    </row>
    <row r="870" ht="13.5" customHeight="1" spans="1:21">
      <c r="A870" s="4" t="s">
        <v>66</v>
      </c>
      <c r="B870" s="3">
        <v>1153</v>
      </c>
      <c r="C870" s="3">
        <v>7684</v>
      </c>
      <c r="D870" s="3">
        <v>1</v>
      </c>
      <c r="E870" s="4" t="s">
        <v>22</v>
      </c>
      <c r="F870" s="4" t="s">
        <v>106</v>
      </c>
      <c r="G870" s="4" t="s">
        <v>107</v>
      </c>
      <c r="H870" s="4" t="s">
        <v>25</v>
      </c>
      <c r="I870" s="4" t="s">
        <v>156</v>
      </c>
      <c r="J870" s="3">
        <v>1</v>
      </c>
      <c r="K870" s="3">
        <v>25</v>
      </c>
      <c r="L870" s="3">
        <v>24</v>
      </c>
      <c r="M870" s="3">
        <v>1</v>
      </c>
      <c r="N870" s="3">
        <v>0</v>
      </c>
      <c r="O870" s="3">
        <v>0</v>
      </c>
      <c r="P870" s="3">
        <f t="shared" si="0"/>
        <v>0</v>
      </c>
      <c r="Q870" s="3">
        <f t="shared" si="1"/>
        <v>96</v>
      </c>
      <c r="R870" s="3">
        <f t="shared" si="2"/>
        <v>0</v>
      </c>
      <c r="S870" s="11">
        <f>AVERAGE(Q870:Q873)</f>
        <v>95</v>
      </c>
      <c r="T870" s="7">
        <f>AVERAGE(R870:R873)</f>
        <v>4</v>
      </c>
      <c r="U870" s="8">
        <f>(L870+L871+L872+L873+O870+O871+O872+O873)/(K870+K871+K872+K873)*100</f>
        <v>99</v>
      </c>
    </row>
    <row r="871" ht="13.5" customHeight="1" spans="1:19">
      <c r="A871" s="4" t="s">
        <v>66</v>
      </c>
      <c r="B871" s="3">
        <v>1153</v>
      </c>
      <c r="C871" s="3">
        <v>7684</v>
      </c>
      <c r="D871" s="3">
        <v>1</v>
      </c>
      <c r="E871" s="4" t="s">
        <v>22</v>
      </c>
      <c r="F871" s="4" t="s">
        <v>106</v>
      </c>
      <c r="G871" s="4" t="s">
        <v>107</v>
      </c>
      <c r="H871" s="4" t="s">
        <v>25</v>
      </c>
      <c r="I871" s="4" t="s">
        <v>156</v>
      </c>
      <c r="J871" s="3">
        <v>2</v>
      </c>
      <c r="K871" s="3">
        <v>25</v>
      </c>
      <c r="L871" s="3">
        <v>23</v>
      </c>
      <c r="M871" s="3">
        <v>0</v>
      </c>
      <c r="N871" s="3">
        <v>0</v>
      </c>
      <c r="O871" s="3">
        <v>2</v>
      </c>
      <c r="P871" s="3">
        <f t="shared" si="0"/>
        <v>0</v>
      </c>
      <c r="Q871" s="3">
        <f t="shared" si="1"/>
        <v>92</v>
      </c>
      <c r="R871" s="3">
        <f t="shared" si="2"/>
        <v>8</v>
      </c>
      <c r="S871" s="11"/>
    </row>
    <row r="872" ht="13.5" customHeight="1" spans="1:19">
      <c r="A872" s="4" t="s">
        <v>66</v>
      </c>
      <c r="B872" s="3">
        <v>1153</v>
      </c>
      <c r="C872" s="3">
        <v>7684</v>
      </c>
      <c r="D872" s="3">
        <v>1</v>
      </c>
      <c r="E872" s="4" t="s">
        <v>22</v>
      </c>
      <c r="F872" s="4" t="s">
        <v>106</v>
      </c>
      <c r="G872" s="4" t="s">
        <v>107</v>
      </c>
      <c r="H872" s="4" t="s">
        <v>25</v>
      </c>
      <c r="I872" s="4" t="s">
        <v>156</v>
      </c>
      <c r="J872" s="3">
        <v>3</v>
      </c>
      <c r="K872" s="3">
        <v>25</v>
      </c>
      <c r="L872" s="3">
        <v>23</v>
      </c>
      <c r="M872" s="3">
        <v>0</v>
      </c>
      <c r="N872" s="3">
        <v>0</v>
      </c>
      <c r="O872" s="3">
        <v>2</v>
      </c>
      <c r="P872" s="3">
        <f t="shared" si="0"/>
        <v>0</v>
      </c>
      <c r="Q872" s="3">
        <f t="shared" si="1"/>
        <v>92</v>
      </c>
      <c r="R872" s="3">
        <f t="shared" si="2"/>
        <v>8</v>
      </c>
      <c r="S872" s="11"/>
    </row>
    <row r="873" ht="13.5" customHeight="1" spans="1:19">
      <c r="A873" s="4" t="s">
        <v>66</v>
      </c>
      <c r="B873" s="3">
        <v>1153</v>
      </c>
      <c r="C873" s="3">
        <v>7684</v>
      </c>
      <c r="D873" s="3">
        <v>1</v>
      </c>
      <c r="E873" s="4" t="s">
        <v>22</v>
      </c>
      <c r="F873" s="4" t="s">
        <v>106</v>
      </c>
      <c r="G873" s="4" t="s">
        <v>107</v>
      </c>
      <c r="H873" s="4" t="s">
        <v>25</v>
      </c>
      <c r="I873" s="4" t="s">
        <v>156</v>
      </c>
      <c r="J873" s="3">
        <v>4</v>
      </c>
      <c r="K873" s="3">
        <v>25</v>
      </c>
      <c r="L873" s="3">
        <v>25</v>
      </c>
      <c r="M873" s="3">
        <v>0</v>
      </c>
      <c r="N873" s="3">
        <v>0</v>
      </c>
      <c r="O873" s="3">
        <v>0</v>
      </c>
      <c r="P873" s="3">
        <f t="shared" si="0"/>
        <v>0</v>
      </c>
      <c r="Q873" s="3">
        <f t="shared" si="1"/>
        <v>100</v>
      </c>
      <c r="R873" s="3">
        <f t="shared" si="2"/>
        <v>0</v>
      </c>
      <c r="S873" s="11"/>
    </row>
    <row r="874" ht="13.5" customHeight="1" spans="1:21">
      <c r="A874" s="4" t="s">
        <v>21</v>
      </c>
      <c r="B874" s="3">
        <v>1236</v>
      </c>
      <c r="C874" s="3">
        <v>8460</v>
      </c>
      <c r="D874" s="3">
        <v>1</v>
      </c>
      <c r="E874" s="4" t="s">
        <v>22</v>
      </c>
      <c r="F874" s="4" t="s">
        <v>106</v>
      </c>
      <c r="G874" s="4" t="s">
        <v>107</v>
      </c>
      <c r="H874" s="4" t="s">
        <v>25</v>
      </c>
      <c r="I874" s="4" t="s">
        <v>156</v>
      </c>
      <c r="J874" s="3">
        <v>1</v>
      </c>
      <c r="K874" s="3">
        <v>25</v>
      </c>
      <c r="L874" s="3">
        <v>25</v>
      </c>
      <c r="M874" s="3">
        <v>0</v>
      </c>
      <c r="N874" s="3">
        <v>0</v>
      </c>
      <c r="O874" s="3">
        <v>0</v>
      </c>
      <c r="P874" s="3">
        <f t="shared" si="0"/>
        <v>0</v>
      </c>
      <c r="Q874" s="3">
        <f t="shared" si="1"/>
        <v>100</v>
      </c>
      <c r="R874" s="3">
        <f t="shared" si="2"/>
        <v>0</v>
      </c>
      <c r="S874" s="11">
        <f>AVERAGE(Q874:Q877)</f>
        <v>89</v>
      </c>
      <c r="T874" s="7">
        <f>AVERAGE(R874:R877)</f>
        <v>9</v>
      </c>
      <c r="U874" s="8">
        <f>(L874+L875+L876+L877+O874+O875+O876+O877)/(K874+K875+K876+K877)*100</f>
        <v>98</v>
      </c>
    </row>
    <row r="875" ht="13.5" customHeight="1" spans="1:19">
      <c r="A875" s="4" t="s">
        <v>21</v>
      </c>
      <c r="B875" s="3">
        <v>1236</v>
      </c>
      <c r="C875" s="3">
        <v>8460</v>
      </c>
      <c r="D875" s="3">
        <v>1</v>
      </c>
      <c r="E875" s="4" t="s">
        <v>22</v>
      </c>
      <c r="F875" s="4" t="s">
        <v>106</v>
      </c>
      <c r="G875" s="4" t="s">
        <v>107</v>
      </c>
      <c r="H875" s="4" t="s">
        <v>25</v>
      </c>
      <c r="I875" s="4" t="s">
        <v>156</v>
      </c>
      <c r="J875" s="3">
        <v>2</v>
      </c>
      <c r="K875" s="3">
        <v>25</v>
      </c>
      <c r="L875" s="3">
        <v>24</v>
      </c>
      <c r="M875" s="3">
        <v>1</v>
      </c>
      <c r="N875" s="3">
        <v>0</v>
      </c>
      <c r="O875" s="3">
        <v>0</v>
      </c>
      <c r="P875" s="3">
        <f t="shared" si="0"/>
        <v>0</v>
      </c>
      <c r="Q875" s="3">
        <f t="shared" si="1"/>
        <v>96</v>
      </c>
      <c r="R875" s="3">
        <f t="shared" si="2"/>
        <v>0</v>
      </c>
      <c r="S875" s="11"/>
    </row>
    <row r="876" ht="13.5" customHeight="1" spans="1:19">
      <c r="A876" s="4" t="s">
        <v>21</v>
      </c>
      <c r="B876" s="3">
        <v>1236</v>
      </c>
      <c r="C876" s="3">
        <v>8460</v>
      </c>
      <c r="D876" s="3">
        <v>1</v>
      </c>
      <c r="E876" s="4" t="s">
        <v>22</v>
      </c>
      <c r="F876" s="4" t="s">
        <v>106</v>
      </c>
      <c r="G876" s="4" t="s">
        <v>107</v>
      </c>
      <c r="H876" s="4" t="s">
        <v>25</v>
      </c>
      <c r="I876" s="4" t="s">
        <v>156</v>
      </c>
      <c r="J876" s="3">
        <v>3</v>
      </c>
      <c r="K876" s="3">
        <v>25</v>
      </c>
      <c r="L876" s="3">
        <v>17</v>
      </c>
      <c r="M876" s="3">
        <v>1</v>
      </c>
      <c r="N876" s="3">
        <v>0</v>
      </c>
      <c r="O876" s="3">
        <v>7</v>
      </c>
      <c r="P876" s="3">
        <f t="shared" si="0"/>
        <v>0</v>
      </c>
      <c r="Q876" s="3">
        <f t="shared" si="1"/>
        <v>68</v>
      </c>
      <c r="R876" s="3">
        <f t="shared" si="2"/>
        <v>28</v>
      </c>
      <c r="S876" s="11"/>
    </row>
    <row r="877" ht="13.5" customHeight="1" spans="1:19">
      <c r="A877" s="4" t="s">
        <v>21</v>
      </c>
      <c r="B877" s="3">
        <v>1236</v>
      </c>
      <c r="C877" s="3">
        <v>8460</v>
      </c>
      <c r="D877" s="3">
        <v>1</v>
      </c>
      <c r="E877" s="4" t="s">
        <v>22</v>
      </c>
      <c r="F877" s="4" t="s">
        <v>106</v>
      </c>
      <c r="G877" s="4" t="s">
        <v>107</v>
      </c>
      <c r="H877" s="4" t="s">
        <v>25</v>
      </c>
      <c r="I877" s="4" t="s">
        <v>156</v>
      </c>
      <c r="J877" s="3">
        <v>4</v>
      </c>
      <c r="K877" s="3">
        <v>25</v>
      </c>
      <c r="L877" s="3">
        <v>23</v>
      </c>
      <c r="M877" s="3">
        <v>0</v>
      </c>
      <c r="N877" s="3">
        <v>0</v>
      </c>
      <c r="O877" s="3">
        <v>2</v>
      </c>
      <c r="P877" s="3">
        <f t="shared" si="0"/>
        <v>0</v>
      </c>
      <c r="Q877" s="3">
        <f t="shared" si="1"/>
        <v>92</v>
      </c>
      <c r="R877" s="3">
        <f t="shared" si="2"/>
        <v>8</v>
      </c>
      <c r="S877" s="11"/>
    </row>
    <row r="878" ht="13.5" customHeight="1" spans="1:21">
      <c r="A878" s="4" t="s">
        <v>32</v>
      </c>
      <c r="B878" s="3">
        <v>1342</v>
      </c>
      <c r="C878" s="3">
        <v>9074</v>
      </c>
      <c r="D878" s="3">
        <v>0.1</v>
      </c>
      <c r="E878" s="4" t="s">
        <v>88</v>
      </c>
      <c r="F878" s="4" t="s">
        <v>114</v>
      </c>
      <c r="G878" s="4" t="s">
        <v>115</v>
      </c>
      <c r="H878" s="4" t="s">
        <v>25</v>
      </c>
      <c r="I878" s="4" t="s">
        <v>156</v>
      </c>
      <c r="J878" s="3">
        <v>1</v>
      </c>
      <c r="K878" s="3">
        <v>25</v>
      </c>
      <c r="L878" s="3">
        <v>14</v>
      </c>
      <c r="M878" s="3">
        <v>0</v>
      </c>
      <c r="N878" s="3">
        <v>0</v>
      </c>
      <c r="O878" s="3">
        <v>11</v>
      </c>
      <c r="P878" s="3">
        <f t="shared" si="0"/>
        <v>0</v>
      </c>
      <c r="Q878" s="3">
        <f t="shared" si="1"/>
        <v>56</v>
      </c>
      <c r="R878" s="3">
        <f t="shared" si="2"/>
        <v>44</v>
      </c>
      <c r="S878" s="11">
        <f>AVERAGE(Q878:Q881)</f>
        <v>67</v>
      </c>
      <c r="T878" s="7">
        <f>AVERAGE(R878:R881)</f>
        <v>33</v>
      </c>
      <c r="U878" s="8">
        <f>(L878+L879+L880+L881+O878+O879+O880+O881)/(K878+K879+K880+K881)*100</f>
        <v>100</v>
      </c>
    </row>
    <row r="879" ht="13.5" customHeight="1" spans="1:19">
      <c r="A879" s="4" t="s">
        <v>32</v>
      </c>
      <c r="B879" s="3">
        <v>1342</v>
      </c>
      <c r="C879" s="3">
        <v>9074</v>
      </c>
      <c r="D879" s="3">
        <v>0.1</v>
      </c>
      <c r="E879" s="4" t="s">
        <v>88</v>
      </c>
      <c r="F879" s="4" t="s">
        <v>114</v>
      </c>
      <c r="G879" s="4" t="s">
        <v>115</v>
      </c>
      <c r="H879" s="4" t="s">
        <v>25</v>
      </c>
      <c r="I879" s="4" t="s">
        <v>156</v>
      </c>
      <c r="J879" s="3">
        <v>2</v>
      </c>
      <c r="K879" s="3">
        <v>25</v>
      </c>
      <c r="L879" s="3">
        <v>19</v>
      </c>
      <c r="M879" s="3">
        <v>0</v>
      </c>
      <c r="N879" s="3">
        <v>0</v>
      </c>
      <c r="O879" s="3">
        <v>6</v>
      </c>
      <c r="P879" s="3">
        <f t="shared" si="0"/>
        <v>0</v>
      </c>
      <c r="Q879" s="3">
        <f t="shared" si="1"/>
        <v>76</v>
      </c>
      <c r="R879" s="3">
        <f t="shared" si="2"/>
        <v>24</v>
      </c>
      <c r="S879" s="11"/>
    </row>
    <row r="880" ht="13.5" customHeight="1" spans="1:19">
      <c r="A880" s="4" t="s">
        <v>32</v>
      </c>
      <c r="B880" s="3">
        <v>1342</v>
      </c>
      <c r="C880" s="3">
        <v>9074</v>
      </c>
      <c r="D880" s="3">
        <v>0.1</v>
      </c>
      <c r="E880" s="4" t="s">
        <v>88</v>
      </c>
      <c r="F880" s="4" t="s">
        <v>114</v>
      </c>
      <c r="G880" s="4" t="s">
        <v>115</v>
      </c>
      <c r="H880" s="4" t="s">
        <v>25</v>
      </c>
      <c r="I880" s="4" t="s">
        <v>156</v>
      </c>
      <c r="J880" s="3">
        <v>3</v>
      </c>
      <c r="K880" s="3">
        <v>25</v>
      </c>
      <c r="L880" s="3">
        <v>15</v>
      </c>
      <c r="M880" s="3">
        <v>0</v>
      </c>
      <c r="N880" s="3">
        <v>0</v>
      </c>
      <c r="O880" s="3">
        <v>10</v>
      </c>
      <c r="P880" s="3">
        <f t="shared" si="0"/>
        <v>0</v>
      </c>
      <c r="Q880" s="3">
        <f t="shared" si="1"/>
        <v>60</v>
      </c>
      <c r="R880" s="3">
        <f t="shared" si="2"/>
        <v>40</v>
      </c>
      <c r="S880" s="11"/>
    </row>
    <row r="881" ht="13.5" customHeight="1" spans="1:19">
      <c r="A881" s="4" t="s">
        <v>32</v>
      </c>
      <c r="B881" s="3">
        <v>1342</v>
      </c>
      <c r="C881" s="3">
        <v>9074</v>
      </c>
      <c r="D881" s="3">
        <v>0.1</v>
      </c>
      <c r="E881" s="4" t="s">
        <v>88</v>
      </c>
      <c r="F881" s="4" t="s">
        <v>114</v>
      </c>
      <c r="G881" s="4" t="s">
        <v>115</v>
      </c>
      <c r="H881" s="4" t="s">
        <v>25</v>
      </c>
      <c r="I881" s="4" t="s">
        <v>156</v>
      </c>
      <c r="J881" s="3">
        <v>4</v>
      </c>
      <c r="K881" s="3">
        <v>25</v>
      </c>
      <c r="L881" s="3">
        <v>19</v>
      </c>
      <c r="M881" s="3">
        <v>0</v>
      </c>
      <c r="N881" s="3">
        <v>0</v>
      </c>
      <c r="O881" s="3">
        <v>6</v>
      </c>
      <c r="P881" s="3">
        <f t="shared" si="0"/>
        <v>0</v>
      </c>
      <c r="Q881" s="3">
        <f t="shared" si="1"/>
        <v>76</v>
      </c>
      <c r="R881" s="3">
        <f t="shared" si="2"/>
        <v>24</v>
      </c>
      <c r="S881" s="11"/>
    </row>
    <row r="882" ht="13.5" customHeight="1" spans="1:21">
      <c r="A882" s="4" t="s">
        <v>46</v>
      </c>
      <c r="B882" s="3">
        <v>1270</v>
      </c>
      <c r="C882" s="3">
        <v>8757</v>
      </c>
      <c r="D882" s="3">
        <v>0.1</v>
      </c>
      <c r="E882" s="4" t="s">
        <v>88</v>
      </c>
      <c r="F882" s="4" t="s">
        <v>114</v>
      </c>
      <c r="G882" s="4" t="s">
        <v>115</v>
      </c>
      <c r="H882" s="4" t="s">
        <v>25</v>
      </c>
      <c r="I882" s="4" t="s">
        <v>156</v>
      </c>
      <c r="J882" s="3">
        <v>1</v>
      </c>
      <c r="K882" s="3">
        <v>25</v>
      </c>
      <c r="L882" s="3">
        <v>7</v>
      </c>
      <c r="M882" s="3">
        <v>0</v>
      </c>
      <c r="N882" s="3">
        <v>0</v>
      </c>
      <c r="O882" s="3">
        <v>18</v>
      </c>
      <c r="P882" s="3">
        <f t="shared" si="0"/>
        <v>0</v>
      </c>
      <c r="Q882" s="3">
        <f t="shared" si="1"/>
        <v>28</v>
      </c>
      <c r="R882" s="3">
        <f t="shared" si="2"/>
        <v>72</v>
      </c>
      <c r="S882" s="11">
        <f>AVERAGE(Q882:Q885)</f>
        <v>41</v>
      </c>
      <c r="T882" s="7">
        <f>AVERAGE(R882:R885)</f>
        <v>59</v>
      </c>
      <c r="U882" s="8">
        <f>(L882+L883+L884+L885+O882+O883+O884+O885)/(K882+K883+K884+K885)*100</f>
        <v>100</v>
      </c>
    </row>
    <row r="883" ht="13.5" customHeight="1" spans="1:19">
      <c r="A883" s="4" t="s">
        <v>46</v>
      </c>
      <c r="B883" s="3">
        <v>1270</v>
      </c>
      <c r="C883" s="3">
        <v>8757</v>
      </c>
      <c r="D883" s="3">
        <v>0.1</v>
      </c>
      <c r="E883" s="4" t="s">
        <v>88</v>
      </c>
      <c r="F883" s="4" t="s">
        <v>114</v>
      </c>
      <c r="G883" s="4" t="s">
        <v>115</v>
      </c>
      <c r="H883" s="4" t="s">
        <v>25</v>
      </c>
      <c r="I883" s="4" t="s">
        <v>156</v>
      </c>
      <c r="J883" s="3">
        <v>2</v>
      </c>
      <c r="K883" s="3">
        <v>25</v>
      </c>
      <c r="L883" s="3">
        <v>12</v>
      </c>
      <c r="M883" s="3">
        <v>0</v>
      </c>
      <c r="N883" s="3">
        <v>0</v>
      </c>
      <c r="O883" s="3">
        <v>13</v>
      </c>
      <c r="P883" s="3">
        <f t="shared" si="0"/>
        <v>0</v>
      </c>
      <c r="Q883" s="3">
        <f t="shared" si="1"/>
        <v>48</v>
      </c>
      <c r="R883" s="3">
        <f t="shared" si="2"/>
        <v>52</v>
      </c>
      <c r="S883" s="11"/>
    </row>
    <row r="884" ht="13.5" customHeight="1" spans="1:19">
      <c r="A884" s="4" t="s">
        <v>46</v>
      </c>
      <c r="B884" s="3">
        <v>1270</v>
      </c>
      <c r="C884" s="3">
        <v>8757</v>
      </c>
      <c r="D884" s="3">
        <v>0.1</v>
      </c>
      <c r="E884" s="4" t="s">
        <v>88</v>
      </c>
      <c r="F884" s="4" t="s">
        <v>114</v>
      </c>
      <c r="G884" s="4" t="s">
        <v>115</v>
      </c>
      <c r="H884" s="4" t="s">
        <v>25</v>
      </c>
      <c r="I884" s="4" t="s">
        <v>156</v>
      </c>
      <c r="J884" s="3">
        <v>3</v>
      </c>
      <c r="K884" s="3">
        <v>25</v>
      </c>
      <c r="L884" s="3">
        <v>14</v>
      </c>
      <c r="M884" s="3">
        <v>0</v>
      </c>
      <c r="N884" s="3">
        <v>0</v>
      </c>
      <c r="O884" s="3">
        <v>11</v>
      </c>
      <c r="P884" s="3">
        <f t="shared" si="0"/>
        <v>0</v>
      </c>
      <c r="Q884" s="3">
        <f t="shared" si="1"/>
        <v>56</v>
      </c>
      <c r="R884" s="3">
        <f t="shared" si="2"/>
        <v>44</v>
      </c>
      <c r="S884" s="11"/>
    </row>
    <row r="885" ht="13.5" customHeight="1" spans="1:19">
      <c r="A885" s="4" t="s">
        <v>46</v>
      </c>
      <c r="B885" s="3">
        <v>1270</v>
      </c>
      <c r="C885" s="3">
        <v>8757</v>
      </c>
      <c r="D885" s="3">
        <v>0.1</v>
      </c>
      <c r="E885" s="4" t="s">
        <v>88</v>
      </c>
      <c r="F885" s="4" t="s">
        <v>114</v>
      </c>
      <c r="G885" s="4" t="s">
        <v>115</v>
      </c>
      <c r="H885" s="4" t="s">
        <v>25</v>
      </c>
      <c r="I885" s="4" t="s">
        <v>156</v>
      </c>
      <c r="J885" s="3">
        <v>4</v>
      </c>
      <c r="K885" s="3">
        <v>25</v>
      </c>
      <c r="L885" s="3">
        <v>8</v>
      </c>
      <c r="M885" s="3">
        <v>0</v>
      </c>
      <c r="N885" s="3">
        <v>0</v>
      </c>
      <c r="O885" s="3">
        <v>17</v>
      </c>
      <c r="P885" s="3">
        <f t="shared" si="0"/>
        <v>0</v>
      </c>
      <c r="Q885" s="3">
        <f t="shared" si="1"/>
        <v>32</v>
      </c>
      <c r="R885" s="3">
        <f t="shared" si="2"/>
        <v>68</v>
      </c>
      <c r="S885" s="11"/>
    </row>
    <row r="886" ht="13.5" customHeight="1" spans="1:21">
      <c r="A886" s="4" t="s">
        <v>42</v>
      </c>
      <c r="B886" s="3">
        <v>1441</v>
      </c>
      <c r="C886" s="3">
        <v>9420</v>
      </c>
      <c r="D886" s="3">
        <v>0.1</v>
      </c>
      <c r="E886" s="4" t="s">
        <v>88</v>
      </c>
      <c r="F886" s="4" t="s">
        <v>114</v>
      </c>
      <c r="G886" s="4" t="s">
        <v>115</v>
      </c>
      <c r="H886" s="4" t="s">
        <v>25</v>
      </c>
      <c r="I886" s="4" t="s">
        <v>156</v>
      </c>
      <c r="J886" s="3">
        <v>1</v>
      </c>
      <c r="K886" s="3">
        <v>25</v>
      </c>
      <c r="L886" s="3">
        <v>13</v>
      </c>
      <c r="M886" s="3">
        <v>0</v>
      </c>
      <c r="N886" s="3">
        <v>1</v>
      </c>
      <c r="O886" s="3">
        <v>11</v>
      </c>
      <c r="P886" s="3">
        <f t="shared" si="0"/>
        <v>0</v>
      </c>
      <c r="Q886" s="3">
        <f t="shared" si="1"/>
        <v>54.1666666666667</v>
      </c>
      <c r="R886" s="3">
        <f t="shared" si="2"/>
        <v>45.8333333333333</v>
      </c>
      <c r="S886" s="11">
        <f>AVERAGE(Q886:Q889)</f>
        <v>48.5416666666667</v>
      </c>
      <c r="T886" s="7">
        <f>AVERAGE(R886:R889)</f>
        <v>51.4583333333333</v>
      </c>
      <c r="U886" s="8">
        <f>(L886+L887+L888+L889+O886+O887+O888+O889)/(K886+K887+K888+K889)*100</f>
        <v>99</v>
      </c>
    </row>
    <row r="887" ht="13.5" customHeight="1" spans="1:19">
      <c r="A887" s="4" t="s">
        <v>42</v>
      </c>
      <c r="B887" s="3">
        <v>1441</v>
      </c>
      <c r="C887" s="3">
        <v>9420</v>
      </c>
      <c r="D887" s="3">
        <v>0.1</v>
      </c>
      <c r="E887" s="4" t="s">
        <v>88</v>
      </c>
      <c r="F887" s="4" t="s">
        <v>114</v>
      </c>
      <c r="G887" s="4" t="s">
        <v>115</v>
      </c>
      <c r="H887" s="4" t="s">
        <v>25</v>
      </c>
      <c r="I887" s="4" t="s">
        <v>156</v>
      </c>
      <c r="J887" s="3">
        <v>2</v>
      </c>
      <c r="K887" s="3">
        <v>25</v>
      </c>
      <c r="L887" s="3">
        <v>10</v>
      </c>
      <c r="M887" s="3">
        <v>0</v>
      </c>
      <c r="N887" s="3">
        <v>0</v>
      </c>
      <c r="O887" s="3">
        <v>15</v>
      </c>
      <c r="P887" s="3">
        <f t="shared" si="0"/>
        <v>0</v>
      </c>
      <c r="Q887" s="3">
        <f t="shared" si="1"/>
        <v>40</v>
      </c>
      <c r="R887" s="3">
        <f t="shared" si="2"/>
        <v>60</v>
      </c>
      <c r="S887" s="11"/>
    </row>
    <row r="888" ht="13.5" customHeight="1" spans="1:19">
      <c r="A888" s="4" t="s">
        <v>42</v>
      </c>
      <c r="B888" s="3">
        <v>1441</v>
      </c>
      <c r="C888" s="3">
        <v>9420</v>
      </c>
      <c r="D888" s="3">
        <v>0.1</v>
      </c>
      <c r="E888" s="4" t="s">
        <v>88</v>
      </c>
      <c r="F888" s="4" t="s">
        <v>114</v>
      </c>
      <c r="G888" s="4" t="s">
        <v>115</v>
      </c>
      <c r="H888" s="4" t="s">
        <v>25</v>
      </c>
      <c r="I888" s="4" t="s">
        <v>156</v>
      </c>
      <c r="J888" s="3">
        <v>3</v>
      </c>
      <c r="K888" s="3">
        <v>25</v>
      </c>
      <c r="L888" s="3">
        <v>10</v>
      </c>
      <c r="M888" s="3">
        <v>0</v>
      </c>
      <c r="N888" s="3">
        <v>0</v>
      </c>
      <c r="O888" s="3">
        <v>15</v>
      </c>
      <c r="P888" s="3">
        <f t="shared" si="0"/>
        <v>0</v>
      </c>
      <c r="Q888" s="3">
        <f t="shared" si="1"/>
        <v>40</v>
      </c>
      <c r="R888" s="3">
        <f t="shared" si="2"/>
        <v>60</v>
      </c>
      <c r="S888" s="11"/>
    </row>
    <row r="889" ht="13.5" customHeight="1" spans="1:19">
      <c r="A889" s="4" t="s">
        <v>42</v>
      </c>
      <c r="B889" s="3">
        <v>1441</v>
      </c>
      <c r="C889" s="3">
        <v>9420</v>
      </c>
      <c r="D889" s="3">
        <v>0.1</v>
      </c>
      <c r="E889" s="4" t="s">
        <v>88</v>
      </c>
      <c r="F889" s="4" t="s">
        <v>114</v>
      </c>
      <c r="G889" s="4" t="s">
        <v>115</v>
      </c>
      <c r="H889" s="4" t="s">
        <v>25</v>
      </c>
      <c r="I889" s="4" t="s">
        <v>156</v>
      </c>
      <c r="J889" s="3">
        <v>4</v>
      </c>
      <c r="K889" s="3">
        <v>25</v>
      </c>
      <c r="L889" s="3">
        <v>15</v>
      </c>
      <c r="M889" s="3">
        <v>0</v>
      </c>
      <c r="N889" s="3">
        <v>0</v>
      </c>
      <c r="O889" s="3">
        <v>10</v>
      </c>
      <c r="P889" s="3">
        <f t="shared" si="0"/>
        <v>0</v>
      </c>
      <c r="Q889" s="3">
        <f t="shared" si="1"/>
        <v>60</v>
      </c>
      <c r="R889" s="3">
        <f t="shared" si="2"/>
        <v>40</v>
      </c>
      <c r="S889" s="11"/>
    </row>
    <row r="890" ht="13.5" customHeight="1" spans="1:21">
      <c r="A890" s="4" t="s">
        <v>85</v>
      </c>
      <c r="B890" s="3">
        <v>1167</v>
      </c>
      <c r="C890" s="3">
        <v>7918</v>
      </c>
      <c r="D890" s="3">
        <v>0.1</v>
      </c>
      <c r="E890" s="4" t="s">
        <v>88</v>
      </c>
      <c r="F890" s="4" t="s">
        <v>114</v>
      </c>
      <c r="G890" s="4" t="s">
        <v>115</v>
      </c>
      <c r="H890" s="4" t="s">
        <v>25</v>
      </c>
      <c r="I890" s="4" t="s">
        <v>156</v>
      </c>
      <c r="J890" s="3">
        <v>1</v>
      </c>
      <c r="K890" s="3">
        <v>25</v>
      </c>
      <c r="L890" s="3">
        <v>9</v>
      </c>
      <c r="M890" s="3">
        <v>0</v>
      </c>
      <c r="N890" s="3">
        <v>0</v>
      </c>
      <c r="O890" s="3">
        <v>16</v>
      </c>
      <c r="P890" s="3">
        <f t="shared" si="0"/>
        <v>0</v>
      </c>
      <c r="Q890" s="3">
        <f t="shared" si="1"/>
        <v>36</v>
      </c>
      <c r="R890" s="3">
        <f t="shared" si="2"/>
        <v>64</v>
      </c>
      <c r="S890" s="11">
        <f>AVERAGE(Q890:Q893)</f>
        <v>41</v>
      </c>
      <c r="T890" s="7">
        <f>AVERAGE(R890:R893)</f>
        <v>59</v>
      </c>
      <c r="U890" s="8">
        <f>(L890+L891+L892+L893+O890+O891+O892+O893)/(K890+K891+K892+K893)*100</f>
        <v>100</v>
      </c>
    </row>
    <row r="891" ht="13.5" customHeight="1" spans="1:19">
      <c r="A891" s="4" t="s">
        <v>85</v>
      </c>
      <c r="B891" s="3">
        <v>1167</v>
      </c>
      <c r="C891" s="3">
        <v>7918</v>
      </c>
      <c r="D891" s="3">
        <v>0.1</v>
      </c>
      <c r="E891" s="4" t="s">
        <v>88</v>
      </c>
      <c r="F891" s="4" t="s">
        <v>114</v>
      </c>
      <c r="G891" s="4" t="s">
        <v>115</v>
      </c>
      <c r="H891" s="4" t="s">
        <v>25</v>
      </c>
      <c r="I891" s="4" t="s">
        <v>156</v>
      </c>
      <c r="J891" s="3">
        <v>2</v>
      </c>
      <c r="K891" s="3">
        <v>25</v>
      </c>
      <c r="L891" s="3">
        <v>14</v>
      </c>
      <c r="M891" s="3">
        <v>0</v>
      </c>
      <c r="N891" s="3">
        <v>0</v>
      </c>
      <c r="O891" s="3">
        <v>11</v>
      </c>
      <c r="P891" s="3">
        <f t="shared" si="0"/>
        <v>0</v>
      </c>
      <c r="Q891" s="3">
        <f t="shared" si="1"/>
        <v>56</v>
      </c>
      <c r="R891" s="3">
        <f t="shared" si="2"/>
        <v>44</v>
      </c>
      <c r="S891" s="11"/>
    </row>
    <row r="892" ht="13.5" customHeight="1" spans="1:19">
      <c r="A892" s="4" t="s">
        <v>85</v>
      </c>
      <c r="B892" s="3">
        <v>1167</v>
      </c>
      <c r="C892" s="3">
        <v>7918</v>
      </c>
      <c r="D892" s="3">
        <v>0.1</v>
      </c>
      <c r="E892" s="4" t="s">
        <v>88</v>
      </c>
      <c r="F892" s="4" t="s">
        <v>114</v>
      </c>
      <c r="G892" s="4" t="s">
        <v>115</v>
      </c>
      <c r="H892" s="4" t="s">
        <v>25</v>
      </c>
      <c r="I892" s="4" t="s">
        <v>156</v>
      </c>
      <c r="J892" s="3">
        <v>3</v>
      </c>
      <c r="K892" s="3">
        <v>25</v>
      </c>
      <c r="L892" s="3">
        <v>11</v>
      </c>
      <c r="M892" s="3">
        <v>0</v>
      </c>
      <c r="N892" s="3">
        <v>0</v>
      </c>
      <c r="O892" s="3">
        <v>14</v>
      </c>
      <c r="P892" s="3">
        <f t="shared" si="0"/>
        <v>0</v>
      </c>
      <c r="Q892" s="3">
        <f t="shared" si="1"/>
        <v>44</v>
      </c>
      <c r="R892" s="3">
        <f t="shared" si="2"/>
        <v>56</v>
      </c>
      <c r="S892" s="11"/>
    </row>
    <row r="893" ht="13.5" customHeight="1" spans="1:19">
      <c r="A893" s="4" t="s">
        <v>85</v>
      </c>
      <c r="B893" s="3">
        <v>1167</v>
      </c>
      <c r="C893" s="3">
        <v>7918</v>
      </c>
      <c r="D893" s="3">
        <v>0.1</v>
      </c>
      <c r="E893" s="4" t="s">
        <v>88</v>
      </c>
      <c r="F893" s="4" t="s">
        <v>114</v>
      </c>
      <c r="G893" s="4" t="s">
        <v>115</v>
      </c>
      <c r="H893" s="4" t="s">
        <v>25</v>
      </c>
      <c r="I893" s="4" t="s">
        <v>156</v>
      </c>
      <c r="J893" s="3">
        <v>4</v>
      </c>
      <c r="K893" s="3">
        <v>25</v>
      </c>
      <c r="L893" s="3">
        <v>7</v>
      </c>
      <c r="M893" s="3">
        <v>0</v>
      </c>
      <c r="N893" s="3">
        <v>0</v>
      </c>
      <c r="O893" s="3">
        <v>18</v>
      </c>
      <c r="P893" s="3">
        <f t="shared" si="0"/>
        <v>0</v>
      </c>
      <c r="Q893" s="3">
        <f t="shared" si="1"/>
        <v>28</v>
      </c>
      <c r="R893" s="3">
        <f t="shared" si="2"/>
        <v>72</v>
      </c>
      <c r="S893" s="11"/>
    </row>
    <row r="894" ht="13.5" customHeight="1" spans="1:21">
      <c r="A894" s="4" t="s">
        <v>32</v>
      </c>
      <c r="B894" s="3">
        <v>1342</v>
      </c>
      <c r="C894" s="3">
        <v>9074</v>
      </c>
      <c r="D894" s="3">
        <v>0.1</v>
      </c>
      <c r="E894" s="4" t="s">
        <v>52</v>
      </c>
      <c r="F894" s="4" t="s">
        <v>53</v>
      </c>
      <c r="G894" s="4" t="s">
        <v>54</v>
      </c>
      <c r="H894" s="4" t="s">
        <v>40</v>
      </c>
      <c r="I894" s="4" t="s">
        <v>156</v>
      </c>
      <c r="J894" s="3">
        <v>1</v>
      </c>
      <c r="K894" s="3">
        <v>25</v>
      </c>
      <c r="L894" s="3">
        <v>10</v>
      </c>
      <c r="M894" s="3">
        <v>5</v>
      </c>
      <c r="N894" s="3">
        <v>9</v>
      </c>
      <c r="O894" s="3">
        <v>1</v>
      </c>
      <c r="P894" s="3">
        <f t="shared" si="0"/>
        <v>0</v>
      </c>
      <c r="Q894" s="3">
        <f t="shared" si="1"/>
        <v>62.5</v>
      </c>
      <c r="R894" s="3">
        <f t="shared" si="2"/>
        <v>6.25</v>
      </c>
      <c r="S894" s="11">
        <f>AVERAGE(Q894:Q897)</f>
        <v>66.2599206349206</v>
      </c>
      <c r="T894" s="7">
        <f>AVERAGE(R894:R897)</f>
        <v>6.52281746031747</v>
      </c>
      <c r="U894" s="8">
        <f>(L894+L895+L896+L897+O894+O895+O896+O897)/(K894+K895+K896+K897)*100</f>
        <v>45</v>
      </c>
    </row>
    <row r="895" ht="13.5" customHeight="1" spans="1:19">
      <c r="A895" s="4" t="s">
        <v>32</v>
      </c>
      <c r="B895" s="3">
        <v>1342</v>
      </c>
      <c r="C895" s="3">
        <v>9074</v>
      </c>
      <c r="D895" s="3">
        <v>0.1</v>
      </c>
      <c r="E895" s="4" t="s">
        <v>52</v>
      </c>
      <c r="F895" s="4" t="s">
        <v>53</v>
      </c>
      <c r="G895" s="4" t="s">
        <v>54</v>
      </c>
      <c r="H895" s="4" t="s">
        <v>40</v>
      </c>
      <c r="I895" s="4" t="s">
        <v>156</v>
      </c>
      <c r="J895" s="3">
        <v>2</v>
      </c>
      <c r="K895" s="3">
        <v>25</v>
      </c>
      <c r="L895" s="3">
        <v>8</v>
      </c>
      <c r="M895" s="3">
        <v>9</v>
      </c>
      <c r="N895" s="3">
        <v>7</v>
      </c>
      <c r="O895" s="3">
        <v>1</v>
      </c>
      <c r="P895" s="3">
        <f t="shared" si="0"/>
        <v>0</v>
      </c>
      <c r="Q895" s="3">
        <f t="shared" si="1"/>
        <v>44.4444444444444</v>
      </c>
      <c r="R895" s="3">
        <f t="shared" si="2"/>
        <v>5.55555555555556</v>
      </c>
      <c r="S895" s="11"/>
    </row>
    <row r="896" ht="13.5" customHeight="1" spans="1:19">
      <c r="A896" s="4" t="s">
        <v>32</v>
      </c>
      <c r="B896" s="3">
        <v>1342</v>
      </c>
      <c r="C896" s="3">
        <v>9074</v>
      </c>
      <c r="D896" s="3">
        <v>0.1</v>
      </c>
      <c r="E896" s="4" t="s">
        <v>52</v>
      </c>
      <c r="F896" s="4" t="s">
        <v>53</v>
      </c>
      <c r="G896" s="4" t="s">
        <v>54</v>
      </c>
      <c r="H896" s="4" t="s">
        <v>40</v>
      </c>
      <c r="I896" s="4" t="s">
        <v>156</v>
      </c>
      <c r="J896" s="3">
        <v>3</v>
      </c>
      <c r="K896" s="3">
        <v>25</v>
      </c>
      <c r="L896" s="3">
        <v>13</v>
      </c>
      <c r="M896" s="3">
        <v>2</v>
      </c>
      <c r="N896" s="3">
        <v>10</v>
      </c>
      <c r="O896" s="3">
        <v>0</v>
      </c>
      <c r="P896" s="3">
        <f t="shared" si="0"/>
        <v>0</v>
      </c>
      <c r="Q896" s="3">
        <f t="shared" si="1"/>
        <v>86.6666666666667</v>
      </c>
      <c r="R896" s="3">
        <f t="shared" si="2"/>
        <v>0</v>
      </c>
      <c r="S896" s="11"/>
    </row>
    <row r="897" ht="13.5" customHeight="1" spans="1:19">
      <c r="A897" s="4" t="s">
        <v>32</v>
      </c>
      <c r="B897" s="3">
        <v>1342</v>
      </c>
      <c r="C897" s="3">
        <v>9074</v>
      </c>
      <c r="D897" s="3">
        <v>0.1</v>
      </c>
      <c r="E897" s="4" t="s">
        <v>52</v>
      </c>
      <c r="F897" s="4" t="s">
        <v>53</v>
      </c>
      <c r="G897" s="4" t="s">
        <v>54</v>
      </c>
      <c r="H897" s="4" t="s">
        <v>40</v>
      </c>
      <c r="I897" s="4" t="s">
        <v>156</v>
      </c>
      <c r="J897" s="3">
        <v>4</v>
      </c>
      <c r="K897" s="3">
        <v>25</v>
      </c>
      <c r="L897" s="3">
        <v>10</v>
      </c>
      <c r="M897" s="3">
        <v>2</v>
      </c>
      <c r="N897" s="3">
        <v>11</v>
      </c>
      <c r="O897" s="3">
        <v>2</v>
      </c>
      <c r="P897" s="3">
        <f t="shared" si="0"/>
        <v>0</v>
      </c>
      <c r="Q897" s="3">
        <f t="shared" si="1"/>
        <v>71.4285714285714</v>
      </c>
      <c r="R897" s="3">
        <f t="shared" si="2"/>
        <v>14.2857142857143</v>
      </c>
      <c r="S897" s="11"/>
    </row>
    <row r="898" ht="13.5" customHeight="1" spans="1:21">
      <c r="A898" s="4" t="s">
        <v>60</v>
      </c>
      <c r="B898" s="3">
        <v>1330</v>
      </c>
      <c r="C898" s="3">
        <v>9133</v>
      </c>
      <c r="D898" s="3">
        <v>0.1</v>
      </c>
      <c r="E898" s="4" t="s">
        <v>52</v>
      </c>
      <c r="F898" s="4" t="s">
        <v>53</v>
      </c>
      <c r="G898" s="4" t="s">
        <v>54</v>
      </c>
      <c r="H898" s="4" t="s">
        <v>40</v>
      </c>
      <c r="I898" s="4" t="s">
        <v>156</v>
      </c>
      <c r="J898" s="3">
        <v>1</v>
      </c>
      <c r="K898" s="3">
        <v>25</v>
      </c>
      <c r="L898" s="3">
        <v>14</v>
      </c>
      <c r="M898" s="3">
        <v>7</v>
      </c>
      <c r="N898" s="3">
        <v>2</v>
      </c>
      <c r="O898" s="3">
        <v>2</v>
      </c>
      <c r="P898" s="3">
        <f t="shared" si="0"/>
        <v>0</v>
      </c>
      <c r="Q898" s="3">
        <f t="shared" si="1"/>
        <v>60.8695652173913</v>
      </c>
      <c r="R898" s="3">
        <f t="shared" si="2"/>
        <v>8.69565217391304</v>
      </c>
      <c r="S898" s="11">
        <f>AVERAGE(Q898:Q901)</f>
        <v>62.7493882928665</v>
      </c>
      <c r="T898" s="7">
        <f>AVERAGE(R898:R901)</f>
        <v>18.259457933371</v>
      </c>
      <c r="U898" s="8">
        <f>(L898+L899+L900+L901+O898+O899+O900+O901)/(K898+K899+K900+K901)*100</f>
        <v>72</v>
      </c>
    </row>
    <row r="899" ht="13.5" customHeight="1" spans="1:19">
      <c r="A899" s="4" t="s">
        <v>60</v>
      </c>
      <c r="B899" s="3">
        <v>1330</v>
      </c>
      <c r="C899" s="3">
        <v>9133</v>
      </c>
      <c r="D899" s="3">
        <v>0.1</v>
      </c>
      <c r="E899" s="4" t="s">
        <v>52</v>
      </c>
      <c r="F899" s="4" t="s">
        <v>53</v>
      </c>
      <c r="G899" s="4" t="s">
        <v>54</v>
      </c>
      <c r="H899" s="4" t="s">
        <v>40</v>
      </c>
      <c r="I899" s="4" t="s">
        <v>156</v>
      </c>
      <c r="J899" s="3">
        <v>2</v>
      </c>
      <c r="K899" s="3">
        <v>25</v>
      </c>
      <c r="L899" s="3">
        <v>11</v>
      </c>
      <c r="M899" s="3">
        <v>4</v>
      </c>
      <c r="N899" s="3">
        <v>4</v>
      </c>
      <c r="O899" s="3">
        <v>6</v>
      </c>
      <c r="P899" s="3">
        <f t="shared" si="0"/>
        <v>0</v>
      </c>
      <c r="Q899" s="3">
        <f t="shared" si="1"/>
        <v>52.3809523809524</v>
      </c>
      <c r="R899" s="3">
        <f t="shared" si="2"/>
        <v>28.5714285714286</v>
      </c>
      <c r="S899" s="11"/>
    </row>
    <row r="900" ht="13.5" customHeight="1" spans="1:19">
      <c r="A900" s="4" t="s">
        <v>60</v>
      </c>
      <c r="B900" s="3">
        <v>1330</v>
      </c>
      <c r="C900" s="3">
        <v>9133</v>
      </c>
      <c r="D900" s="3">
        <v>0.1</v>
      </c>
      <c r="E900" s="4" t="s">
        <v>52</v>
      </c>
      <c r="F900" s="4" t="s">
        <v>53</v>
      </c>
      <c r="G900" s="4" t="s">
        <v>54</v>
      </c>
      <c r="H900" s="4" t="s">
        <v>40</v>
      </c>
      <c r="I900" s="4" t="s">
        <v>156</v>
      </c>
      <c r="J900" s="3">
        <v>3</v>
      </c>
      <c r="K900" s="3">
        <v>25</v>
      </c>
      <c r="L900" s="3">
        <v>15</v>
      </c>
      <c r="M900" s="3">
        <v>2</v>
      </c>
      <c r="N900" s="3">
        <v>3</v>
      </c>
      <c r="O900" s="3">
        <v>5</v>
      </c>
      <c r="P900" s="3">
        <f t="shared" si="0"/>
        <v>0</v>
      </c>
      <c r="Q900" s="3">
        <f t="shared" si="1"/>
        <v>68.1818181818182</v>
      </c>
      <c r="R900" s="3">
        <f t="shared" si="2"/>
        <v>22.7272727272727</v>
      </c>
      <c r="S900" s="11"/>
    </row>
    <row r="901" ht="13.5" customHeight="1" spans="1:19">
      <c r="A901" s="4" t="s">
        <v>60</v>
      </c>
      <c r="B901" s="3">
        <v>1330</v>
      </c>
      <c r="C901" s="3">
        <v>9133</v>
      </c>
      <c r="D901" s="3">
        <v>0.1</v>
      </c>
      <c r="E901" s="4" t="s">
        <v>52</v>
      </c>
      <c r="F901" s="4" t="s">
        <v>53</v>
      </c>
      <c r="G901" s="4" t="s">
        <v>54</v>
      </c>
      <c r="H901" s="4" t="s">
        <v>40</v>
      </c>
      <c r="I901" s="4" t="s">
        <v>156</v>
      </c>
      <c r="J901" s="3">
        <v>4</v>
      </c>
      <c r="K901" s="3">
        <v>25</v>
      </c>
      <c r="L901" s="3">
        <v>16</v>
      </c>
      <c r="M901" s="3">
        <v>4</v>
      </c>
      <c r="N901" s="3">
        <v>2</v>
      </c>
      <c r="O901" s="3">
        <v>3</v>
      </c>
      <c r="P901" s="3">
        <f t="shared" si="0"/>
        <v>0</v>
      </c>
      <c r="Q901" s="3">
        <f t="shared" si="1"/>
        <v>69.5652173913043</v>
      </c>
      <c r="R901" s="3">
        <f t="shared" si="2"/>
        <v>13.0434782608696</v>
      </c>
      <c r="S901" s="11"/>
    </row>
    <row r="902" ht="13.5" customHeight="1" spans="1:21">
      <c r="A902" s="4" t="s">
        <v>42</v>
      </c>
      <c r="B902" s="3">
        <v>1441</v>
      </c>
      <c r="C902" s="3">
        <v>9420</v>
      </c>
      <c r="D902" s="3">
        <v>0.1</v>
      </c>
      <c r="E902" s="4" t="s">
        <v>33</v>
      </c>
      <c r="F902" s="4" t="s">
        <v>67</v>
      </c>
      <c r="G902" s="4" t="s">
        <v>68</v>
      </c>
      <c r="H902" s="4" t="s">
        <v>40</v>
      </c>
      <c r="I902" s="4" t="s">
        <v>156</v>
      </c>
      <c r="J902" s="3">
        <v>1</v>
      </c>
      <c r="K902" s="3">
        <v>25</v>
      </c>
      <c r="L902" s="3">
        <v>25</v>
      </c>
      <c r="M902" s="3">
        <v>0</v>
      </c>
      <c r="N902" s="3">
        <v>0</v>
      </c>
      <c r="O902" s="3">
        <v>0</v>
      </c>
      <c r="P902" s="3">
        <f t="shared" si="0"/>
        <v>0</v>
      </c>
      <c r="Q902" s="3">
        <f t="shared" si="1"/>
        <v>100</v>
      </c>
      <c r="R902" s="3">
        <f t="shared" si="2"/>
        <v>0</v>
      </c>
      <c r="S902" s="11">
        <f>AVERAGE(Q902:Q905)</f>
        <v>98</v>
      </c>
      <c r="T902" s="7">
        <f>AVERAGE(R902:R905)</f>
        <v>2</v>
      </c>
      <c r="U902" s="8">
        <f>(L902+L903+L904+L905+O902+O903+O904+O905)/(K902+K903+K904+K905)*100</f>
        <v>100</v>
      </c>
    </row>
    <row r="903" ht="13.5" customHeight="1" spans="1:19">
      <c r="A903" s="4" t="s">
        <v>42</v>
      </c>
      <c r="B903" s="3">
        <v>1441</v>
      </c>
      <c r="C903" s="3">
        <v>9420</v>
      </c>
      <c r="D903" s="3">
        <v>0.1</v>
      </c>
      <c r="E903" s="4" t="s">
        <v>33</v>
      </c>
      <c r="F903" s="4" t="s">
        <v>67</v>
      </c>
      <c r="G903" s="4" t="s">
        <v>68</v>
      </c>
      <c r="H903" s="4" t="s">
        <v>40</v>
      </c>
      <c r="I903" s="4" t="s">
        <v>156</v>
      </c>
      <c r="J903" s="3">
        <v>2</v>
      </c>
      <c r="K903" s="3">
        <v>25</v>
      </c>
      <c r="L903" s="3">
        <v>24</v>
      </c>
      <c r="M903" s="3">
        <v>0</v>
      </c>
      <c r="N903" s="3">
        <v>0</v>
      </c>
      <c r="O903" s="3">
        <v>1</v>
      </c>
      <c r="P903" s="3">
        <f t="shared" si="0"/>
        <v>0</v>
      </c>
      <c r="Q903" s="3">
        <f t="shared" si="1"/>
        <v>96</v>
      </c>
      <c r="R903" s="3">
        <f t="shared" si="2"/>
        <v>4</v>
      </c>
      <c r="S903" s="11"/>
    </row>
    <row r="904" ht="13.5" customHeight="1" spans="1:19">
      <c r="A904" s="4" t="s">
        <v>42</v>
      </c>
      <c r="B904" s="3">
        <v>1441</v>
      </c>
      <c r="C904" s="3">
        <v>9420</v>
      </c>
      <c r="D904" s="3">
        <v>0.1</v>
      </c>
      <c r="E904" s="4" t="s">
        <v>33</v>
      </c>
      <c r="F904" s="4" t="s">
        <v>67</v>
      </c>
      <c r="G904" s="4" t="s">
        <v>68</v>
      </c>
      <c r="H904" s="4" t="s">
        <v>40</v>
      </c>
      <c r="I904" s="4" t="s">
        <v>156</v>
      </c>
      <c r="J904" s="3">
        <v>3</v>
      </c>
      <c r="K904" s="3">
        <v>25</v>
      </c>
      <c r="L904" s="3">
        <v>24</v>
      </c>
      <c r="M904" s="3">
        <v>0</v>
      </c>
      <c r="N904" s="3">
        <v>0</v>
      </c>
      <c r="O904" s="3">
        <v>1</v>
      </c>
      <c r="P904" s="3">
        <f t="shared" si="0"/>
        <v>0</v>
      </c>
      <c r="Q904" s="3">
        <f t="shared" si="1"/>
        <v>96</v>
      </c>
      <c r="R904" s="3">
        <f t="shared" si="2"/>
        <v>4</v>
      </c>
      <c r="S904" s="11"/>
    </row>
    <row r="905" ht="13.5" customHeight="1" spans="1:19">
      <c r="A905" s="4" t="s">
        <v>42</v>
      </c>
      <c r="B905" s="3">
        <v>1441</v>
      </c>
      <c r="C905" s="3">
        <v>9420</v>
      </c>
      <c r="D905" s="3">
        <v>0.1</v>
      </c>
      <c r="E905" s="4" t="s">
        <v>33</v>
      </c>
      <c r="F905" s="4" t="s">
        <v>67</v>
      </c>
      <c r="G905" s="4" t="s">
        <v>68</v>
      </c>
      <c r="H905" s="4" t="s">
        <v>40</v>
      </c>
      <c r="I905" s="4" t="s">
        <v>156</v>
      </c>
      <c r="J905" s="3">
        <v>4</v>
      </c>
      <c r="K905" s="3">
        <v>25</v>
      </c>
      <c r="L905" s="3">
        <v>25</v>
      </c>
      <c r="M905" s="3">
        <v>0</v>
      </c>
      <c r="N905" s="3">
        <v>0</v>
      </c>
      <c r="O905" s="3">
        <v>0</v>
      </c>
      <c r="P905" s="3">
        <f t="shared" si="0"/>
        <v>0</v>
      </c>
      <c r="Q905" s="3">
        <f t="shared" si="1"/>
        <v>100</v>
      </c>
      <c r="R905" s="3">
        <f t="shared" si="2"/>
        <v>0</v>
      </c>
      <c r="S905" s="11"/>
    </row>
    <row r="906" ht="13.5" customHeight="1" spans="1:21">
      <c r="A906" s="4" t="s">
        <v>21</v>
      </c>
      <c r="B906" s="3">
        <v>1236</v>
      </c>
      <c r="C906" s="3">
        <v>8460</v>
      </c>
      <c r="D906" s="3">
        <v>0.1</v>
      </c>
      <c r="E906" s="4" t="s">
        <v>52</v>
      </c>
      <c r="F906" s="4" t="s">
        <v>53</v>
      </c>
      <c r="G906" s="4" t="s">
        <v>54</v>
      </c>
      <c r="H906" s="4" t="s">
        <v>40</v>
      </c>
      <c r="I906" s="4" t="s">
        <v>156</v>
      </c>
      <c r="J906" s="3">
        <v>1</v>
      </c>
      <c r="K906" s="3">
        <v>25</v>
      </c>
      <c r="L906" s="3">
        <v>20</v>
      </c>
      <c r="M906" s="3">
        <v>1</v>
      </c>
      <c r="N906" s="3">
        <v>3</v>
      </c>
      <c r="O906" s="3">
        <v>1</v>
      </c>
      <c r="P906" s="3">
        <f t="shared" si="0"/>
        <v>0</v>
      </c>
      <c r="Q906" s="3">
        <f t="shared" si="1"/>
        <v>90.9090909090909</v>
      </c>
      <c r="R906" s="3">
        <f t="shared" si="2"/>
        <v>4.54545454545455</v>
      </c>
      <c r="S906" s="11">
        <f>AVERAGE(Q906:Q909)</f>
        <v>86.3979383619477</v>
      </c>
      <c r="T906" s="7">
        <f>AVERAGE(R906:R909)</f>
        <v>3.21969696969697</v>
      </c>
      <c r="U906" s="8">
        <f>(L906+L907+L908+L909+O906+O907+O908+O909)/(K906+K907+K908+K909)*100</f>
        <v>74</v>
      </c>
    </row>
    <row r="907" ht="13.5" customHeight="1" spans="1:19">
      <c r="A907" s="4" t="s">
        <v>21</v>
      </c>
      <c r="B907" s="3">
        <v>1236</v>
      </c>
      <c r="C907" s="3">
        <v>8460</v>
      </c>
      <c r="D907" s="3">
        <v>0.1</v>
      </c>
      <c r="E907" s="4" t="s">
        <v>52</v>
      </c>
      <c r="F907" s="4" t="s">
        <v>53</v>
      </c>
      <c r="G907" s="4" t="s">
        <v>54</v>
      </c>
      <c r="H907" s="4" t="s">
        <v>40</v>
      </c>
      <c r="I907" s="4" t="s">
        <v>156</v>
      </c>
      <c r="J907" s="3">
        <v>2</v>
      </c>
      <c r="K907" s="3">
        <v>25</v>
      </c>
      <c r="L907" s="3">
        <v>15</v>
      </c>
      <c r="M907" s="3">
        <v>4</v>
      </c>
      <c r="N907" s="3">
        <v>6</v>
      </c>
      <c r="O907" s="3">
        <v>0</v>
      </c>
      <c r="P907" s="3">
        <f t="shared" si="0"/>
        <v>0</v>
      </c>
      <c r="Q907" s="3">
        <f t="shared" si="1"/>
        <v>78.9473684210526</v>
      </c>
      <c r="R907" s="3">
        <f t="shared" si="2"/>
        <v>0</v>
      </c>
      <c r="S907" s="11"/>
    </row>
    <row r="908" ht="13.5" customHeight="1" spans="1:19">
      <c r="A908" s="4" t="s">
        <v>21</v>
      </c>
      <c r="B908" s="3">
        <v>1236</v>
      </c>
      <c r="C908" s="3">
        <v>8460</v>
      </c>
      <c r="D908" s="3">
        <v>0.1</v>
      </c>
      <c r="E908" s="4" t="s">
        <v>52</v>
      </c>
      <c r="F908" s="4" t="s">
        <v>53</v>
      </c>
      <c r="G908" s="4" t="s">
        <v>54</v>
      </c>
      <c r="H908" s="4" t="s">
        <v>40</v>
      </c>
      <c r="I908" s="4" t="s">
        <v>156</v>
      </c>
      <c r="J908" s="3">
        <v>3</v>
      </c>
      <c r="K908" s="3">
        <v>25</v>
      </c>
      <c r="L908" s="3">
        <v>15</v>
      </c>
      <c r="M908" s="3">
        <v>2</v>
      </c>
      <c r="N908" s="3">
        <v>8</v>
      </c>
      <c r="O908" s="3">
        <v>0</v>
      </c>
      <c r="P908" s="3">
        <f t="shared" si="0"/>
        <v>0</v>
      </c>
      <c r="Q908" s="3">
        <f t="shared" si="1"/>
        <v>88.2352941176471</v>
      </c>
      <c r="R908" s="3">
        <f t="shared" si="2"/>
        <v>0</v>
      </c>
      <c r="S908" s="11"/>
    </row>
    <row r="909" ht="13.5" customHeight="1" spans="1:19">
      <c r="A909" s="4" t="s">
        <v>21</v>
      </c>
      <c r="B909" s="3">
        <v>1236</v>
      </c>
      <c r="C909" s="3">
        <v>8460</v>
      </c>
      <c r="D909" s="3">
        <v>0.1</v>
      </c>
      <c r="E909" s="4" t="s">
        <v>52</v>
      </c>
      <c r="F909" s="4" t="s">
        <v>53</v>
      </c>
      <c r="G909" s="4" t="s">
        <v>54</v>
      </c>
      <c r="H909" s="4" t="s">
        <v>40</v>
      </c>
      <c r="I909" s="4" t="s">
        <v>156</v>
      </c>
      <c r="J909" s="3">
        <v>4</v>
      </c>
      <c r="K909" s="3">
        <v>25</v>
      </c>
      <c r="L909" s="3">
        <v>21</v>
      </c>
      <c r="M909" s="3">
        <v>1</v>
      </c>
      <c r="N909" s="3">
        <v>1</v>
      </c>
      <c r="O909" s="3">
        <v>2</v>
      </c>
      <c r="P909" s="3">
        <f t="shared" si="0"/>
        <v>0</v>
      </c>
      <c r="Q909" s="3">
        <f t="shared" si="1"/>
        <v>87.5</v>
      </c>
      <c r="R909" s="3">
        <f t="shared" si="2"/>
        <v>8.33333333333333</v>
      </c>
      <c r="S909" s="11"/>
    </row>
    <row r="910" ht="13.5" customHeight="1" spans="1:21">
      <c r="A910" s="4" t="s">
        <v>77</v>
      </c>
      <c r="B910" s="3">
        <v>1746</v>
      </c>
      <c r="C910" s="3">
        <v>10331</v>
      </c>
      <c r="D910" s="3">
        <v>0.1</v>
      </c>
      <c r="E910" s="4" t="s">
        <v>48</v>
      </c>
      <c r="F910" s="4" t="s">
        <v>108</v>
      </c>
      <c r="G910" s="4" t="s">
        <v>141</v>
      </c>
      <c r="H910" s="4" t="s">
        <v>40</v>
      </c>
      <c r="I910" s="4" t="s">
        <v>156</v>
      </c>
      <c r="J910" s="3">
        <v>1</v>
      </c>
      <c r="K910" s="3">
        <v>25</v>
      </c>
      <c r="L910" s="3">
        <v>19</v>
      </c>
      <c r="M910" s="3">
        <v>1</v>
      </c>
      <c r="N910" s="3">
        <v>1</v>
      </c>
      <c r="O910" s="3">
        <v>4</v>
      </c>
      <c r="P910" s="3">
        <f t="shared" si="0"/>
        <v>0</v>
      </c>
      <c r="Q910" s="3">
        <f t="shared" si="1"/>
        <v>79.1666666666667</v>
      </c>
      <c r="R910" s="3">
        <f t="shared" si="2"/>
        <v>16.6666666666667</v>
      </c>
      <c r="S910" s="11">
        <f>AVERAGE(Q910:Q913)</f>
        <v>84.356884057971</v>
      </c>
      <c r="T910" s="7">
        <f>AVERAGE(R910:R913)</f>
        <v>13.6014492753623</v>
      </c>
      <c r="U910" s="8">
        <f>(L910+L911+L912+L913+O910+O911+O912+O913)/(K910+K911+K912+K913)*100</f>
        <v>95</v>
      </c>
    </row>
    <row r="911" ht="13.5" customHeight="1" spans="1:19">
      <c r="A911" s="4" t="s">
        <v>77</v>
      </c>
      <c r="B911" s="3">
        <v>1746</v>
      </c>
      <c r="C911" s="3">
        <v>10331</v>
      </c>
      <c r="D911" s="3">
        <v>0.1</v>
      </c>
      <c r="E911" s="4" t="s">
        <v>48</v>
      </c>
      <c r="F911" s="4" t="s">
        <v>108</v>
      </c>
      <c r="G911" s="4" t="s">
        <v>141</v>
      </c>
      <c r="H911" s="4" t="s">
        <v>40</v>
      </c>
      <c r="I911" s="4" t="s">
        <v>156</v>
      </c>
      <c r="J911" s="3">
        <v>2</v>
      </c>
      <c r="K911" s="3">
        <v>25</v>
      </c>
      <c r="L911" s="3">
        <v>18</v>
      </c>
      <c r="M911" s="3">
        <v>0</v>
      </c>
      <c r="N911" s="3">
        <v>2</v>
      </c>
      <c r="O911" s="3">
        <v>5</v>
      </c>
      <c r="P911" s="3">
        <f t="shared" si="0"/>
        <v>0</v>
      </c>
      <c r="Q911" s="3">
        <f t="shared" si="1"/>
        <v>78.2608695652174</v>
      </c>
      <c r="R911" s="3">
        <f t="shared" si="2"/>
        <v>21.7391304347826</v>
      </c>
      <c r="S911" s="11"/>
    </row>
    <row r="912" ht="13.5" customHeight="1" spans="1:19">
      <c r="A912" s="4" t="s">
        <v>77</v>
      </c>
      <c r="B912" s="3">
        <v>1746</v>
      </c>
      <c r="C912" s="3">
        <v>10331</v>
      </c>
      <c r="D912" s="3">
        <v>0.1</v>
      </c>
      <c r="E912" s="4" t="s">
        <v>48</v>
      </c>
      <c r="F912" s="4" t="s">
        <v>108</v>
      </c>
      <c r="G912" s="4" t="s">
        <v>141</v>
      </c>
      <c r="H912" s="4" t="s">
        <v>40</v>
      </c>
      <c r="I912" s="4" t="s">
        <v>156</v>
      </c>
      <c r="J912" s="3">
        <v>3</v>
      </c>
      <c r="K912" s="3">
        <v>25</v>
      </c>
      <c r="L912" s="3">
        <v>21</v>
      </c>
      <c r="M912" s="3">
        <v>1</v>
      </c>
      <c r="N912" s="3">
        <v>0</v>
      </c>
      <c r="O912" s="3">
        <v>3</v>
      </c>
      <c r="P912" s="3">
        <f t="shared" si="0"/>
        <v>0</v>
      </c>
      <c r="Q912" s="3">
        <f t="shared" si="1"/>
        <v>84</v>
      </c>
      <c r="R912" s="3">
        <f t="shared" si="2"/>
        <v>12</v>
      </c>
      <c r="S912" s="11"/>
    </row>
    <row r="913" ht="13.5" customHeight="1" spans="1:19">
      <c r="A913" s="4" t="s">
        <v>77</v>
      </c>
      <c r="B913" s="3">
        <v>1746</v>
      </c>
      <c r="C913" s="3">
        <v>10331</v>
      </c>
      <c r="D913" s="3">
        <v>0.1</v>
      </c>
      <c r="E913" s="4" t="s">
        <v>48</v>
      </c>
      <c r="F913" s="4" t="s">
        <v>108</v>
      </c>
      <c r="G913" s="4" t="s">
        <v>141</v>
      </c>
      <c r="H913" s="4" t="s">
        <v>40</v>
      </c>
      <c r="I913" s="4" t="s">
        <v>156</v>
      </c>
      <c r="J913" s="3">
        <v>4</v>
      </c>
      <c r="K913" s="3">
        <v>25</v>
      </c>
      <c r="L913" s="3">
        <v>24</v>
      </c>
      <c r="M913" s="3">
        <v>0</v>
      </c>
      <c r="N913" s="3">
        <v>0</v>
      </c>
      <c r="O913" s="3">
        <v>1</v>
      </c>
      <c r="P913" s="3">
        <f t="shared" si="0"/>
        <v>0</v>
      </c>
      <c r="Q913" s="3">
        <f t="shared" si="1"/>
        <v>96</v>
      </c>
      <c r="R913" s="3">
        <f t="shared" si="2"/>
        <v>4</v>
      </c>
      <c r="S913" s="11"/>
    </row>
    <row r="914" ht="13.5" customHeight="1" spans="1:21">
      <c r="A914" s="4" t="s">
        <v>69</v>
      </c>
      <c r="B914" s="3">
        <v>1940</v>
      </c>
      <c r="C914" s="3">
        <v>11126</v>
      </c>
      <c r="D914" s="3">
        <v>0.1</v>
      </c>
      <c r="E914" s="4" t="s">
        <v>48</v>
      </c>
      <c r="F914" s="4" t="s">
        <v>142</v>
      </c>
      <c r="G914" s="3" t="s">
        <v>143</v>
      </c>
      <c r="H914" s="4" t="s">
        <v>25</v>
      </c>
      <c r="I914" s="4" t="s">
        <v>156</v>
      </c>
      <c r="J914" s="3">
        <v>1</v>
      </c>
      <c r="K914" s="3">
        <v>25</v>
      </c>
      <c r="L914" s="3">
        <v>13</v>
      </c>
      <c r="M914" s="3">
        <v>0</v>
      </c>
      <c r="N914" s="3">
        <v>2</v>
      </c>
      <c r="O914" s="3">
        <v>10</v>
      </c>
      <c r="P914" s="3">
        <f t="shared" si="0"/>
        <v>0</v>
      </c>
      <c r="Q914" s="3">
        <f t="shared" si="1"/>
        <v>56.5217391304348</v>
      </c>
      <c r="R914" s="3">
        <f t="shared" si="2"/>
        <v>43.4782608695652</v>
      </c>
      <c r="S914" s="11">
        <f>AVERAGE(Q914:Q917)</f>
        <v>52.7971014492754</v>
      </c>
      <c r="T914" s="7">
        <f>AVERAGE(R914:R917)</f>
        <v>46.161231884058</v>
      </c>
      <c r="U914" s="8">
        <f>(L914+L915+L916+L917+O914+O915+O916+O917)/(K914+K915+K916+K917)*100</f>
        <v>96</v>
      </c>
    </row>
    <row r="915" ht="13.5" customHeight="1" spans="1:19">
      <c r="A915" s="4" t="s">
        <v>69</v>
      </c>
      <c r="B915" s="3">
        <v>1940</v>
      </c>
      <c r="C915" s="3">
        <v>11126</v>
      </c>
      <c r="D915" s="3">
        <v>0.1</v>
      </c>
      <c r="E915" s="4" t="s">
        <v>48</v>
      </c>
      <c r="F915" s="4" t="s">
        <v>142</v>
      </c>
      <c r="G915" s="3" t="s">
        <v>143</v>
      </c>
      <c r="H915" s="4" t="s">
        <v>25</v>
      </c>
      <c r="I915" s="4" t="s">
        <v>156</v>
      </c>
      <c r="J915" s="3">
        <v>2</v>
      </c>
      <c r="K915" s="3">
        <v>25</v>
      </c>
      <c r="L915" s="3">
        <v>7</v>
      </c>
      <c r="M915" s="3">
        <v>0</v>
      </c>
      <c r="N915" s="3">
        <v>0</v>
      </c>
      <c r="O915" s="3">
        <v>18</v>
      </c>
      <c r="P915" s="3">
        <f t="shared" si="0"/>
        <v>0</v>
      </c>
      <c r="Q915" s="3">
        <f t="shared" si="1"/>
        <v>28</v>
      </c>
      <c r="R915" s="3">
        <f t="shared" si="2"/>
        <v>72</v>
      </c>
      <c r="S915" s="11"/>
    </row>
    <row r="916" ht="13.5" customHeight="1" spans="1:19">
      <c r="A916" s="4" t="s">
        <v>69</v>
      </c>
      <c r="B916" s="3">
        <v>1940</v>
      </c>
      <c r="C916" s="3">
        <v>11126</v>
      </c>
      <c r="D916" s="3">
        <v>0.1</v>
      </c>
      <c r="E916" s="4" t="s">
        <v>48</v>
      </c>
      <c r="F916" s="4" t="s">
        <v>142</v>
      </c>
      <c r="G916" s="3" t="s">
        <v>143</v>
      </c>
      <c r="H916" s="4" t="s">
        <v>25</v>
      </c>
      <c r="I916" s="4" t="s">
        <v>156</v>
      </c>
      <c r="J916" s="3">
        <v>3</v>
      </c>
      <c r="K916" s="3">
        <v>25</v>
      </c>
      <c r="L916" s="3">
        <v>16</v>
      </c>
      <c r="M916" s="3">
        <v>1</v>
      </c>
      <c r="N916" s="3">
        <v>1</v>
      </c>
      <c r="O916" s="3">
        <v>7</v>
      </c>
      <c r="P916" s="3">
        <f t="shared" si="0"/>
        <v>0</v>
      </c>
      <c r="Q916" s="3">
        <f t="shared" si="1"/>
        <v>66.6666666666667</v>
      </c>
      <c r="R916" s="3">
        <f t="shared" si="2"/>
        <v>29.1666666666667</v>
      </c>
      <c r="S916" s="11"/>
    </row>
    <row r="917" ht="13.5" customHeight="1" spans="1:19">
      <c r="A917" s="4" t="s">
        <v>69</v>
      </c>
      <c r="B917" s="3">
        <v>1940</v>
      </c>
      <c r="C917" s="3">
        <v>11126</v>
      </c>
      <c r="D917" s="3">
        <v>0.1</v>
      </c>
      <c r="E917" s="4" t="s">
        <v>48</v>
      </c>
      <c r="F917" s="4" t="s">
        <v>142</v>
      </c>
      <c r="G917" s="3" t="s">
        <v>143</v>
      </c>
      <c r="H917" s="4" t="s">
        <v>25</v>
      </c>
      <c r="I917" s="4" t="s">
        <v>156</v>
      </c>
      <c r="J917" s="3">
        <v>4</v>
      </c>
      <c r="K917" s="3">
        <v>25</v>
      </c>
      <c r="L917" s="3">
        <v>15</v>
      </c>
      <c r="M917" s="3">
        <v>0</v>
      </c>
      <c r="N917" s="3">
        <v>0</v>
      </c>
      <c r="O917" s="3">
        <v>10</v>
      </c>
      <c r="P917" s="3">
        <f t="shared" si="0"/>
        <v>0</v>
      </c>
      <c r="Q917" s="3">
        <f t="shared" si="1"/>
        <v>60</v>
      </c>
      <c r="R917" s="3">
        <f t="shared" si="2"/>
        <v>40</v>
      </c>
      <c r="S917" s="11"/>
    </row>
    <row r="918" ht="13.5" customHeight="1" spans="1:21">
      <c r="A918" s="4" t="s">
        <v>91</v>
      </c>
      <c r="B918" s="3">
        <v>1007</v>
      </c>
      <c r="C918" s="3">
        <v>4939</v>
      </c>
      <c r="D918" s="3">
        <v>0.1</v>
      </c>
      <c r="E918" s="4" t="s">
        <v>48</v>
      </c>
      <c r="F918" s="4" t="s">
        <v>108</v>
      </c>
      <c r="G918" s="4" t="s">
        <v>125</v>
      </c>
      <c r="H918" s="4" t="s">
        <v>25</v>
      </c>
      <c r="I918" s="4" t="s">
        <v>156</v>
      </c>
      <c r="J918" s="3">
        <v>1</v>
      </c>
      <c r="K918" s="3">
        <v>25</v>
      </c>
      <c r="L918" s="3">
        <v>0</v>
      </c>
      <c r="M918" s="3">
        <v>6</v>
      </c>
      <c r="N918" s="3">
        <v>19</v>
      </c>
      <c r="O918" s="3">
        <v>0</v>
      </c>
      <c r="P918" s="3">
        <f t="shared" si="0"/>
        <v>0</v>
      </c>
      <c r="Q918" s="3">
        <f t="shared" si="1"/>
        <v>0</v>
      </c>
      <c r="R918" s="3">
        <f t="shared" si="2"/>
        <v>0</v>
      </c>
      <c r="S918" s="11">
        <f>AVERAGE(Q918:Q921)</f>
        <v>50</v>
      </c>
      <c r="T918" s="7">
        <f>AVERAGE(R918:R921)</f>
        <v>0</v>
      </c>
      <c r="U918" s="8">
        <f>(L918+L919+L920+L921+O918+O919+O920+O921)/(K918+K919+K920+K921)*100</f>
        <v>3</v>
      </c>
    </row>
    <row r="919" ht="13.5" customHeight="1" spans="1:19">
      <c r="A919" s="4" t="s">
        <v>91</v>
      </c>
      <c r="B919" s="3">
        <v>1007</v>
      </c>
      <c r="C919" s="3">
        <v>4939</v>
      </c>
      <c r="D919" s="3">
        <v>0.1</v>
      </c>
      <c r="E919" s="4" t="s">
        <v>48</v>
      </c>
      <c r="F919" s="4" t="s">
        <v>108</v>
      </c>
      <c r="G919" s="4" t="s">
        <v>125</v>
      </c>
      <c r="H919" s="4" t="s">
        <v>25</v>
      </c>
      <c r="I919" s="4" t="s">
        <v>156</v>
      </c>
      <c r="J919" s="3">
        <v>2</v>
      </c>
      <c r="K919" s="3">
        <v>25</v>
      </c>
      <c r="L919" s="3">
        <v>2</v>
      </c>
      <c r="M919" s="3">
        <v>0</v>
      </c>
      <c r="N919" s="3">
        <v>23</v>
      </c>
      <c r="O919" s="3">
        <v>0</v>
      </c>
      <c r="P919" s="3">
        <f t="shared" si="0"/>
        <v>0</v>
      </c>
      <c r="Q919" s="3">
        <f t="shared" si="1"/>
        <v>100</v>
      </c>
      <c r="R919" s="3">
        <f t="shared" si="2"/>
        <v>0</v>
      </c>
      <c r="S919" s="11"/>
    </row>
    <row r="920" ht="13.5" customHeight="1" spans="1:19">
      <c r="A920" s="4" t="s">
        <v>91</v>
      </c>
      <c r="B920" s="3">
        <v>1007</v>
      </c>
      <c r="C920" s="3">
        <v>4939</v>
      </c>
      <c r="D920" s="3">
        <v>0.1</v>
      </c>
      <c r="E920" s="4" t="s">
        <v>48</v>
      </c>
      <c r="F920" s="4" t="s">
        <v>108</v>
      </c>
      <c r="G920" s="4" t="s">
        <v>125</v>
      </c>
      <c r="H920" s="4" t="s">
        <v>25</v>
      </c>
      <c r="I920" s="4" t="s">
        <v>156</v>
      </c>
      <c r="J920" s="3">
        <v>3</v>
      </c>
      <c r="K920" s="3">
        <v>25</v>
      </c>
      <c r="L920" s="3">
        <v>0</v>
      </c>
      <c r="M920" s="3">
        <v>1</v>
      </c>
      <c r="N920" s="3">
        <v>24</v>
      </c>
      <c r="O920" s="3">
        <v>0</v>
      </c>
      <c r="P920" s="3">
        <f t="shared" si="0"/>
        <v>0</v>
      </c>
      <c r="Q920" s="3">
        <f t="shared" si="1"/>
        <v>0</v>
      </c>
      <c r="R920" s="3">
        <f t="shared" si="2"/>
        <v>0</v>
      </c>
      <c r="S920" s="11"/>
    </row>
    <row r="921" ht="13.5" customHeight="1" spans="1:19">
      <c r="A921" s="4" t="s">
        <v>91</v>
      </c>
      <c r="B921" s="3">
        <v>1007</v>
      </c>
      <c r="C921" s="3">
        <v>4939</v>
      </c>
      <c r="D921" s="3">
        <v>0.1</v>
      </c>
      <c r="E921" s="4" t="s">
        <v>48</v>
      </c>
      <c r="F921" s="4" t="s">
        <v>108</v>
      </c>
      <c r="G921" s="4" t="s">
        <v>125</v>
      </c>
      <c r="H921" s="4" t="s">
        <v>25</v>
      </c>
      <c r="I921" s="4" t="s">
        <v>156</v>
      </c>
      <c r="J921" s="3">
        <v>4</v>
      </c>
      <c r="K921" s="3">
        <v>25</v>
      </c>
      <c r="L921" s="3">
        <v>1</v>
      </c>
      <c r="M921" s="3">
        <v>0</v>
      </c>
      <c r="N921" s="3">
        <v>24</v>
      </c>
      <c r="O921" s="3">
        <v>0</v>
      </c>
      <c r="P921" s="3">
        <f t="shared" si="0"/>
        <v>0</v>
      </c>
      <c r="Q921" s="3">
        <f t="shared" si="1"/>
        <v>100</v>
      </c>
      <c r="R921" s="3">
        <f t="shared" si="2"/>
        <v>0</v>
      </c>
      <c r="S921" s="11"/>
    </row>
    <row r="922" ht="13.5" customHeight="1" spans="1:21">
      <c r="A922" s="4" t="s">
        <v>69</v>
      </c>
      <c r="B922" s="3">
        <v>1940</v>
      </c>
      <c r="C922" s="3">
        <v>11126</v>
      </c>
      <c r="D922" s="3">
        <v>0.1</v>
      </c>
      <c r="E922" s="4" t="s">
        <v>48</v>
      </c>
      <c r="F922" s="4" t="s">
        <v>108</v>
      </c>
      <c r="G922" s="3" t="s">
        <v>125</v>
      </c>
      <c r="H922" s="4" t="s">
        <v>25</v>
      </c>
      <c r="I922" s="4" t="s">
        <v>156</v>
      </c>
      <c r="J922" s="3">
        <v>1</v>
      </c>
      <c r="K922" s="3">
        <v>25</v>
      </c>
      <c r="L922" s="3">
        <v>25</v>
      </c>
      <c r="M922" s="3">
        <v>0</v>
      </c>
      <c r="N922" s="3">
        <v>0</v>
      </c>
      <c r="O922" s="3">
        <v>0</v>
      </c>
      <c r="P922" s="3">
        <f t="shared" si="0"/>
        <v>0</v>
      </c>
      <c r="Q922" s="3">
        <f t="shared" si="1"/>
        <v>100</v>
      </c>
      <c r="R922" s="3">
        <f t="shared" si="2"/>
        <v>0</v>
      </c>
      <c r="S922" s="11">
        <f>AVERAGE(Q922:Q925)</f>
        <v>98</v>
      </c>
      <c r="T922" s="7">
        <f>AVERAGE(R922:R925)</f>
        <v>0</v>
      </c>
      <c r="U922" s="8">
        <f>(L922+L923+L924+L925+O922+O923+O924+O925)/(K922+K923+K924+K925)*100</f>
        <v>98</v>
      </c>
    </row>
    <row r="923" ht="13.5" customHeight="1" spans="1:19">
      <c r="A923" s="4" t="s">
        <v>69</v>
      </c>
      <c r="B923" s="3">
        <v>1940</v>
      </c>
      <c r="C923" s="3">
        <v>11126</v>
      </c>
      <c r="D923" s="3">
        <v>0.1</v>
      </c>
      <c r="E923" s="4" t="s">
        <v>48</v>
      </c>
      <c r="F923" s="4" t="s">
        <v>108</v>
      </c>
      <c r="G923" s="3" t="s">
        <v>125</v>
      </c>
      <c r="H923" s="4" t="s">
        <v>25</v>
      </c>
      <c r="I923" s="4" t="s">
        <v>156</v>
      </c>
      <c r="J923" s="3">
        <v>2</v>
      </c>
      <c r="K923" s="3">
        <v>25</v>
      </c>
      <c r="L923" s="3">
        <v>24</v>
      </c>
      <c r="M923" s="3">
        <v>1</v>
      </c>
      <c r="N923" s="3">
        <v>0</v>
      </c>
      <c r="O923" s="3">
        <v>0</v>
      </c>
      <c r="P923" s="3">
        <f t="shared" si="0"/>
        <v>0</v>
      </c>
      <c r="Q923" s="3">
        <f t="shared" si="1"/>
        <v>96</v>
      </c>
      <c r="R923" s="3">
        <f t="shared" si="2"/>
        <v>0</v>
      </c>
      <c r="S923" s="11"/>
    </row>
    <row r="924" ht="13.5" customHeight="1" spans="1:19">
      <c r="A924" s="4" t="s">
        <v>69</v>
      </c>
      <c r="B924" s="3">
        <v>1940</v>
      </c>
      <c r="C924" s="3">
        <v>11126</v>
      </c>
      <c r="D924" s="3">
        <v>0.1</v>
      </c>
      <c r="E924" s="4" t="s">
        <v>48</v>
      </c>
      <c r="F924" s="4" t="s">
        <v>108</v>
      </c>
      <c r="G924" s="3" t="s">
        <v>125</v>
      </c>
      <c r="H924" s="4" t="s">
        <v>25</v>
      </c>
      <c r="I924" s="4" t="s">
        <v>156</v>
      </c>
      <c r="J924" s="3">
        <v>3</v>
      </c>
      <c r="K924" s="3">
        <v>25</v>
      </c>
      <c r="L924" s="3">
        <v>24</v>
      </c>
      <c r="M924" s="3">
        <v>1</v>
      </c>
      <c r="N924" s="3">
        <v>0</v>
      </c>
      <c r="O924" s="3">
        <v>0</v>
      </c>
      <c r="P924" s="3">
        <f t="shared" si="0"/>
        <v>0</v>
      </c>
      <c r="Q924" s="3">
        <f t="shared" si="1"/>
        <v>96</v>
      </c>
      <c r="R924" s="3">
        <f t="shared" si="2"/>
        <v>0</v>
      </c>
      <c r="S924" s="11"/>
    </row>
    <row r="925" ht="13.5" customHeight="1" spans="1:19">
      <c r="A925" s="4" t="s">
        <v>69</v>
      </c>
      <c r="B925" s="3">
        <v>1940</v>
      </c>
      <c r="C925" s="3">
        <v>11126</v>
      </c>
      <c r="D925" s="3">
        <v>0.1</v>
      </c>
      <c r="E925" s="4" t="s">
        <v>48</v>
      </c>
      <c r="F925" s="4" t="s">
        <v>108</v>
      </c>
      <c r="G925" s="3" t="s">
        <v>125</v>
      </c>
      <c r="H925" s="4" t="s">
        <v>25</v>
      </c>
      <c r="I925" s="4" t="s">
        <v>156</v>
      </c>
      <c r="J925" s="3">
        <v>4</v>
      </c>
      <c r="K925" s="3">
        <v>25</v>
      </c>
      <c r="L925" s="3">
        <v>25</v>
      </c>
      <c r="M925" s="3">
        <v>0</v>
      </c>
      <c r="N925" s="3">
        <v>0</v>
      </c>
      <c r="O925" s="3">
        <v>0</v>
      </c>
      <c r="P925" s="3">
        <f t="shared" si="0"/>
        <v>0</v>
      </c>
      <c r="Q925" s="3">
        <f t="shared" si="1"/>
        <v>100</v>
      </c>
      <c r="R925" s="3">
        <f t="shared" si="2"/>
        <v>0</v>
      </c>
      <c r="S925" s="11"/>
    </row>
    <row r="926" ht="13.5" customHeight="1" spans="1:21">
      <c r="A926" s="4" t="s">
        <v>60</v>
      </c>
      <c r="B926" s="3">
        <v>1330</v>
      </c>
      <c r="C926" s="3">
        <v>9133</v>
      </c>
      <c r="D926" s="3">
        <v>2</v>
      </c>
      <c r="E926" s="4" t="s">
        <v>22</v>
      </c>
      <c r="F926" s="4" t="s">
        <v>106</v>
      </c>
      <c r="G926" s="4" t="s">
        <v>107</v>
      </c>
      <c r="H926" s="4" t="s">
        <v>25</v>
      </c>
      <c r="I926" s="4" t="s">
        <v>156</v>
      </c>
      <c r="J926" s="3">
        <v>1</v>
      </c>
      <c r="K926" s="3">
        <v>25</v>
      </c>
      <c r="L926" s="3">
        <v>25</v>
      </c>
      <c r="M926" s="3">
        <v>0</v>
      </c>
      <c r="N926" s="3">
        <v>0</v>
      </c>
      <c r="O926" s="3">
        <v>0</v>
      </c>
      <c r="P926" s="3">
        <f t="shared" si="0"/>
        <v>0</v>
      </c>
      <c r="Q926" s="3">
        <f t="shared" si="1"/>
        <v>100</v>
      </c>
      <c r="R926" s="3">
        <f t="shared" si="2"/>
        <v>0</v>
      </c>
      <c r="S926" s="11">
        <f>AVERAGE(Q926:Q929)</f>
        <v>95</v>
      </c>
      <c r="T926" s="7">
        <f>AVERAGE(R926:R929)</f>
        <v>2</v>
      </c>
      <c r="U926" s="8">
        <f>(L926+L927+L928+L929+O926+O927+O928+O929)/(K926+K927+K928+K929)*100</f>
        <v>97</v>
      </c>
    </row>
    <row r="927" ht="13.5" customHeight="1" spans="1:19">
      <c r="A927" s="4" t="s">
        <v>60</v>
      </c>
      <c r="B927" s="3">
        <v>1330</v>
      </c>
      <c r="C927" s="3">
        <v>9133</v>
      </c>
      <c r="D927" s="3">
        <v>2</v>
      </c>
      <c r="E927" s="4" t="s">
        <v>22</v>
      </c>
      <c r="F927" s="4" t="s">
        <v>106</v>
      </c>
      <c r="G927" s="4" t="s">
        <v>107</v>
      </c>
      <c r="H927" s="4" t="s">
        <v>25</v>
      </c>
      <c r="I927" s="4" t="s">
        <v>156</v>
      </c>
      <c r="J927" s="3">
        <v>2</v>
      </c>
      <c r="K927" s="3">
        <v>25</v>
      </c>
      <c r="L927" s="3">
        <v>25</v>
      </c>
      <c r="M927" s="3">
        <v>0</v>
      </c>
      <c r="N927" s="3">
        <v>0</v>
      </c>
      <c r="O927" s="3">
        <v>0</v>
      </c>
      <c r="P927" s="3">
        <f t="shared" si="0"/>
        <v>0</v>
      </c>
      <c r="Q927" s="3">
        <f t="shared" si="1"/>
        <v>100</v>
      </c>
      <c r="R927" s="3">
        <f t="shared" si="2"/>
        <v>0</v>
      </c>
      <c r="S927" s="11"/>
    </row>
    <row r="928" ht="13.5" customHeight="1" spans="1:19">
      <c r="A928" s="4" t="s">
        <v>60</v>
      </c>
      <c r="B928" s="3">
        <v>1330</v>
      </c>
      <c r="C928" s="3">
        <v>9133</v>
      </c>
      <c r="D928" s="3">
        <v>2</v>
      </c>
      <c r="E928" s="4" t="s">
        <v>22</v>
      </c>
      <c r="F928" s="4" t="s">
        <v>106</v>
      </c>
      <c r="G928" s="4" t="s">
        <v>107</v>
      </c>
      <c r="H928" s="4" t="s">
        <v>25</v>
      </c>
      <c r="I928" s="4" t="s">
        <v>156</v>
      </c>
      <c r="J928" s="3">
        <v>3</v>
      </c>
      <c r="K928" s="3">
        <v>25</v>
      </c>
      <c r="L928" s="3">
        <v>22</v>
      </c>
      <c r="M928" s="3">
        <v>3</v>
      </c>
      <c r="N928" s="3">
        <v>0</v>
      </c>
      <c r="O928" s="3">
        <v>0</v>
      </c>
      <c r="P928" s="3">
        <f t="shared" si="0"/>
        <v>0</v>
      </c>
      <c r="Q928" s="3">
        <f t="shared" si="1"/>
        <v>88</v>
      </c>
      <c r="R928" s="3">
        <f t="shared" si="2"/>
        <v>0</v>
      </c>
      <c r="S928" s="11"/>
    </row>
    <row r="929" ht="13.5" customHeight="1" spans="1:19">
      <c r="A929" s="4" t="s">
        <v>60</v>
      </c>
      <c r="B929" s="3">
        <v>1330</v>
      </c>
      <c r="C929" s="3">
        <v>9133</v>
      </c>
      <c r="D929" s="3">
        <v>2</v>
      </c>
      <c r="E929" s="4" t="s">
        <v>22</v>
      </c>
      <c r="F929" s="4" t="s">
        <v>106</v>
      </c>
      <c r="G929" s="4" t="s">
        <v>107</v>
      </c>
      <c r="H929" s="4" t="s">
        <v>25</v>
      </c>
      <c r="I929" s="4" t="s">
        <v>156</v>
      </c>
      <c r="J929" s="3">
        <v>4</v>
      </c>
      <c r="K929" s="3">
        <v>25</v>
      </c>
      <c r="L929" s="3">
        <v>23</v>
      </c>
      <c r="M929" s="3">
        <v>0</v>
      </c>
      <c r="N929" s="3">
        <v>0</v>
      </c>
      <c r="O929" s="3">
        <v>2</v>
      </c>
      <c r="P929" s="3">
        <f t="shared" si="0"/>
        <v>0</v>
      </c>
      <c r="Q929" s="3">
        <f t="shared" si="1"/>
        <v>92</v>
      </c>
      <c r="R929" s="3">
        <f t="shared" si="2"/>
        <v>8</v>
      </c>
      <c r="S929" s="11"/>
    </row>
    <row r="930" ht="13.5" customHeight="1" spans="1:21">
      <c r="A930" s="4" t="s">
        <v>77</v>
      </c>
      <c r="B930" s="3">
        <v>1746</v>
      </c>
      <c r="C930" s="3">
        <v>10331</v>
      </c>
      <c r="D930" s="3">
        <v>0.1</v>
      </c>
      <c r="E930" s="4" t="s">
        <v>74</v>
      </c>
      <c r="F930" s="4" t="s">
        <v>75</v>
      </c>
      <c r="G930" s="4" t="s">
        <v>76</v>
      </c>
      <c r="H930" s="4" t="s">
        <v>40</v>
      </c>
      <c r="I930" s="4" t="s">
        <v>156</v>
      </c>
      <c r="J930" s="3">
        <v>1</v>
      </c>
      <c r="K930" s="3">
        <v>25</v>
      </c>
      <c r="L930" s="3">
        <v>18</v>
      </c>
      <c r="M930" s="3">
        <v>7</v>
      </c>
      <c r="N930" s="3">
        <v>0</v>
      </c>
      <c r="O930" s="3">
        <v>0</v>
      </c>
      <c r="P930" s="3">
        <f t="shared" si="0"/>
        <v>0</v>
      </c>
      <c r="Q930" s="3">
        <f t="shared" si="1"/>
        <v>72</v>
      </c>
      <c r="R930" s="3">
        <f t="shared" si="2"/>
        <v>0</v>
      </c>
      <c r="S930" s="11">
        <f>AVERAGE(Q930:Q933)</f>
        <v>77.3685300207039</v>
      </c>
      <c r="T930" s="7">
        <f>AVERAGE(R930:R933)</f>
        <v>0</v>
      </c>
      <c r="U930" s="8">
        <f>(L930+L931+L932+L933+O930+O931+O932+O933)/(K930+K931+K932+K933)*100</f>
        <v>71</v>
      </c>
    </row>
    <row r="931" ht="13.5" customHeight="1" spans="1:19">
      <c r="A931" s="4" t="s">
        <v>77</v>
      </c>
      <c r="B931" s="3">
        <v>1746</v>
      </c>
      <c r="C931" s="3">
        <v>10331</v>
      </c>
      <c r="D931" s="3">
        <v>0.1</v>
      </c>
      <c r="E931" s="4" t="s">
        <v>74</v>
      </c>
      <c r="F931" s="4" t="s">
        <v>75</v>
      </c>
      <c r="G931" s="4" t="s">
        <v>76</v>
      </c>
      <c r="H931" s="4" t="s">
        <v>40</v>
      </c>
      <c r="I931" s="4" t="s">
        <v>156</v>
      </c>
      <c r="J931" s="3">
        <v>2</v>
      </c>
      <c r="K931" s="3">
        <v>25</v>
      </c>
      <c r="L931" s="3">
        <v>15</v>
      </c>
      <c r="M931" s="3">
        <v>8</v>
      </c>
      <c r="N931" s="3">
        <v>2</v>
      </c>
      <c r="O931" s="3">
        <v>0</v>
      </c>
      <c r="P931" s="3">
        <f t="shared" si="0"/>
        <v>0</v>
      </c>
      <c r="Q931" s="3">
        <f t="shared" si="1"/>
        <v>65.2173913043478</v>
      </c>
      <c r="R931" s="3">
        <f t="shared" si="2"/>
        <v>0</v>
      </c>
      <c r="S931" s="11"/>
    </row>
    <row r="932" ht="13.5" customHeight="1" spans="1:19">
      <c r="A932" s="4" t="s">
        <v>77</v>
      </c>
      <c r="B932" s="3">
        <v>1746</v>
      </c>
      <c r="C932" s="3">
        <v>10331</v>
      </c>
      <c r="D932" s="3">
        <v>0.1</v>
      </c>
      <c r="E932" s="4" t="s">
        <v>74</v>
      </c>
      <c r="F932" s="4" t="s">
        <v>75</v>
      </c>
      <c r="G932" s="4" t="s">
        <v>76</v>
      </c>
      <c r="H932" s="4" t="s">
        <v>40</v>
      </c>
      <c r="I932" s="4" t="s">
        <v>156</v>
      </c>
      <c r="J932" s="3">
        <v>3</v>
      </c>
      <c r="K932" s="3">
        <v>25</v>
      </c>
      <c r="L932" s="3">
        <v>17</v>
      </c>
      <c r="M932" s="3">
        <v>4</v>
      </c>
      <c r="N932" s="3">
        <v>4</v>
      </c>
      <c r="O932" s="3">
        <v>0</v>
      </c>
      <c r="P932" s="3">
        <f t="shared" si="0"/>
        <v>0</v>
      </c>
      <c r="Q932" s="3">
        <f t="shared" si="1"/>
        <v>80.9523809523809</v>
      </c>
      <c r="R932" s="3">
        <f t="shared" si="2"/>
        <v>0</v>
      </c>
      <c r="S932" s="11"/>
    </row>
    <row r="933" ht="13.5" customHeight="1" spans="1:19">
      <c r="A933" s="4" t="s">
        <v>77</v>
      </c>
      <c r="B933" s="3">
        <v>1746</v>
      </c>
      <c r="C933" s="3">
        <v>10331</v>
      </c>
      <c r="D933" s="3">
        <v>0.1</v>
      </c>
      <c r="E933" s="4" t="s">
        <v>74</v>
      </c>
      <c r="F933" s="4" t="s">
        <v>75</v>
      </c>
      <c r="G933" s="4" t="s">
        <v>76</v>
      </c>
      <c r="H933" s="4" t="s">
        <v>40</v>
      </c>
      <c r="I933" s="4" t="s">
        <v>156</v>
      </c>
      <c r="J933" s="3">
        <v>4</v>
      </c>
      <c r="K933" s="3">
        <v>25</v>
      </c>
      <c r="L933" s="3">
        <v>21</v>
      </c>
      <c r="M933" s="3">
        <v>2</v>
      </c>
      <c r="N933" s="3">
        <v>2</v>
      </c>
      <c r="O933" s="3">
        <v>0</v>
      </c>
      <c r="P933" s="3">
        <f t="shared" si="0"/>
        <v>0</v>
      </c>
      <c r="Q933" s="3">
        <f t="shared" si="1"/>
        <v>91.304347826087</v>
      </c>
      <c r="R933" s="3">
        <f t="shared" si="2"/>
        <v>0</v>
      </c>
      <c r="S933" s="11"/>
    </row>
    <row r="934" ht="13.5" customHeight="1" spans="1:21">
      <c r="A934" s="4" t="s">
        <v>84</v>
      </c>
      <c r="B934" s="3">
        <v>1177</v>
      </c>
      <c r="C934" s="3">
        <v>8175</v>
      </c>
      <c r="D934" s="3">
        <v>0.1</v>
      </c>
      <c r="E934" s="4" t="s">
        <v>52</v>
      </c>
      <c r="F934" s="4" t="s">
        <v>53</v>
      </c>
      <c r="G934" s="4" t="s">
        <v>54</v>
      </c>
      <c r="H934" s="4" t="s">
        <v>40</v>
      </c>
      <c r="I934" s="4" t="s">
        <v>156</v>
      </c>
      <c r="J934" s="3">
        <v>1</v>
      </c>
      <c r="K934" s="3">
        <v>25</v>
      </c>
      <c r="L934" s="3">
        <v>18</v>
      </c>
      <c r="M934" s="3">
        <v>5</v>
      </c>
      <c r="N934" s="3">
        <v>2</v>
      </c>
      <c r="O934" s="3">
        <v>0</v>
      </c>
      <c r="P934" s="3">
        <f t="shared" si="0"/>
        <v>0</v>
      </c>
      <c r="Q934" s="3">
        <f t="shared" si="1"/>
        <v>78.2608695652174</v>
      </c>
      <c r="R934" s="3">
        <f t="shared" si="2"/>
        <v>0</v>
      </c>
      <c r="S934" s="11">
        <f>AVERAGE(Q934:Q937)</f>
        <v>66.9768335529205</v>
      </c>
      <c r="T934" s="7">
        <f>AVERAGE(R934:R937)</f>
        <v>16.2878787878788</v>
      </c>
      <c r="U934" s="8">
        <f>(L934+L935+L936+L937+O934+O935+O936+O937)/(K934+K935+K936+K937)*100</f>
        <v>72</v>
      </c>
    </row>
    <row r="935" ht="13.5" customHeight="1" spans="1:19">
      <c r="A935" s="4" t="s">
        <v>84</v>
      </c>
      <c r="B935" s="3">
        <v>1177</v>
      </c>
      <c r="C935" s="3">
        <v>8175</v>
      </c>
      <c r="D935" s="3">
        <v>0.1</v>
      </c>
      <c r="E935" s="4" t="s">
        <v>52</v>
      </c>
      <c r="F935" s="4" t="s">
        <v>53</v>
      </c>
      <c r="G935" s="4" t="s">
        <v>54</v>
      </c>
      <c r="H935" s="4" t="s">
        <v>40</v>
      </c>
      <c r="I935" s="4" t="s">
        <v>156</v>
      </c>
      <c r="J935" s="3">
        <v>2</v>
      </c>
      <c r="K935" s="3">
        <v>25</v>
      </c>
      <c r="L935" s="3">
        <v>13</v>
      </c>
      <c r="M935" s="3">
        <v>2</v>
      </c>
      <c r="N935" s="3">
        <v>3</v>
      </c>
      <c r="O935" s="3">
        <v>7</v>
      </c>
      <c r="P935" s="3">
        <f t="shared" si="0"/>
        <v>0</v>
      </c>
      <c r="Q935" s="3">
        <f t="shared" si="1"/>
        <v>59.0909090909091</v>
      </c>
      <c r="R935" s="3">
        <f t="shared" si="2"/>
        <v>31.8181818181818</v>
      </c>
      <c r="S935" s="11"/>
    </row>
    <row r="936" ht="13.5" customHeight="1" spans="1:19">
      <c r="A936" s="4" t="s">
        <v>84</v>
      </c>
      <c r="B936" s="3">
        <v>1177</v>
      </c>
      <c r="C936" s="3">
        <v>8175</v>
      </c>
      <c r="D936" s="3">
        <v>0.1</v>
      </c>
      <c r="E936" s="4" t="s">
        <v>52</v>
      </c>
      <c r="F936" s="4" t="s">
        <v>53</v>
      </c>
      <c r="G936" s="4" t="s">
        <v>54</v>
      </c>
      <c r="H936" s="4" t="s">
        <v>40</v>
      </c>
      <c r="I936" s="4" t="s">
        <v>156</v>
      </c>
      <c r="J936" s="3">
        <v>3</v>
      </c>
      <c r="K936" s="3">
        <v>25</v>
      </c>
      <c r="L936" s="3">
        <v>13</v>
      </c>
      <c r="M936" s="3">
        <v>2</v>
      </c>
      <c r="N936" s="3">
        <v>7</v>
      </c>
      <c r="O936" s="3">
        <v>3</v>
      </c>
      <c r="P936" s="3">
        <f t="shared" si="0"/>
        <v>0</v>
      </c>
      <c r="Q936" s="3">
        <f t="shared" si="1"/>
        <v>72.2222222222222</v>
      </c>
      <c r="R936" s="3">
        <f t="shared" si="2"/>
        <v>16.6666666666667</v>
      </c>
      <c r="S936" s="11"/>
    </row>
    <row r="937" ht="13.5" customHeight="1" spans="1:19">
      <c r="A937" s="4" t="s">
        <v>84</v>
      </c>
      <c r="B937" s="3">
        <v>1177</v>
      </c>
      <c r="C937" s="3">
        <v>8175</v>
      </c>
      <c r="D937" s="3">
        <v>0.1</v>
      </c>
      <c r="E937" s="4" t="s">
        <v>52</v>
      </c>
      <c r="F937" s="4" t="s">
        <v>53</v>
      </c>
      <c r="G937" s="4" t="s">
        <v>54</v>
      </c>
      <c r="H937" s="4" t="s">
        <v>40</v>
      </c>
      <c r="I937" s="4" t="s">
        <v>156</v>
      </c>
      <c r="J937" s="3">
        <v>4</v>
      </c>
      <c r="K937" s="3">
        <v>25</v>
      </c>
      <c r="L937" s="3">
        <v>14</v>
      </c>
      <c r="M937" s="3">
        <v>6</v>
      </c>
      <c r="N937" s="3">
        <v>1</v>
      </c>
      <c r="O937" s="3">
        <v>4</v>
      </c>
      <c r="P937" s="3">
        <f t="shared" si="0"/>
        <v>0</v>
      </c>
      <c r="Q937" s="3">
        <f t="shared" si="1"/>
        <v>58.3333333333333</v>
      </c>
      <c r="R937" s="3">
        <f t="shared" si="2"/>
        <v>16.6666666666667</v>
      </c>
      <c r="S937" s="11"/>
    </row>
    <row r="938" ht="13.5" customHeight="1" spans="1:21">
      <c r="A938" s="4" t="s">
        <v>57</v>
      </c>
      <c r="B938" s="3">
        <v>1847</v>
      </c>
      <c r="C938" s="3">
        <v>10763</v>
      </c>
      <c r="D938" s="3">
        <v>0.1</v>
      </c>
      <c r="E938" s="4" t="s">
        <v>48</v>
      </c>
      <c r="F938" s="4" t="s">
        <v>108</v>
      </c>
      <c r="G938" s="4" t="s">
        <v>125</v>
      </c>
      <c r="H938" s="4" t="s">
        <v>25</v>
      </c>
      <c r="I938" s="4" t="s">
        <v>156</v>
      </c>
      <c r="J938" s="3">
        <v>1</v>
      </c>
      <c r="K938" s="3">
        <v>25</v>
      </c>
      <c r="L938" s="3">
        <v>25</v>
      </c>
      <c r="M938" s="3">
        <v>0</v>
      </c>
      <c r="N938" s="3">
        <v>0</v>
      </c>
      <c r="O938" s="3">
        <v>0</v>
      </c>
      <c r="P938" s="3">
        <f t="shared" si="0"/>
        <v>0</v>
      </c>
      <c r="Q938" s="3">
        <f t="shared" si="1"/>
        <v>100</v>
      </c>
      <c r="R938" s="3">
        <f t="shared" si="2"/>
        <v>0</v>
      </c>
      <c r="S938" s="11">
        <f>AVERAGE(Q938:Q941)</f>
        <v>99</v>
      </c>
      <c r="T938" s="7">
        <f>AVERAGE(R938:R941)</f>
        <v>1</v>
      </c>
      <c r="U938" s="8">
        <f>(L938+L939+L940+L941+O938+O939+O940+O941)/(K938+K939+K940+K941)*100</f>
        <v>100</v>
      </c>
    </row>
    <row r="939" ht="13.5" customHeight="1" spans="1:19">
      <c r="A939" s="4" t="s">
        <v>57</v>
      </c>
      <c r="B939" s="3">
        <v>1847</v>
      </c>
      <c r="C939" s="3">
        <v>10763</v>
      </c>
      <c r="D939" s="3">
        <v>0.1</v>
      </c>
      <c r="E939" s="4" t="s">
        <v>48</v>
      </c>
      <c r="F939" s="4" t="s">
        <v>108</v>
      </c>
      <c r="G939" s="4" t="s">
        <v>125</v>
      </c>
      <c r="H939" s="4" t="s">
        <v>25</v>
      </c>
      <c r="I939" s="4" t="s">
        <v>156</v>
      </c>
      <c r="J939" s="3">
        <v>2</v>
      </c>
      <c r="K939" s="3">
        <v>25</v>
      </c>
      <c r="L939" s="3">
        <v>25</v>
      </c>
      <c r="M939" s="3">
        <v>0</v>
      </c>
      <c r="N939" s="3">
        <v>0</v>
      </c>
      <c r="O939" s="3">
        <v>0</v>
      </c>
      <c r="P939" s="3">
        <f t="shared" si="0"/>
        <v>0</v>
      </c>
      <c r="Q939" s="3">
        <f t="shared" si="1"/>
        <v>100</v>
      </c>
      <c r="R939" s="3">
        <f t="shared" si="2"/>
        <v>0</v>
      </c>
      <c r="S939" s="11"/>
    </row>
    <row r="940" ht="13.5" customHeight="1" spans="1:19">
      <c r="A940" s="4" t="s">
        <v>57</v>
      </c>
      <c r="B940" s="3">
        <v>1847</v>
      </c>
      <c r="C940" s="3">
        <v>10763</v>
      </c>
      <c r="D940" s="3">
        <v>0.1</v>
      </c>
      <c r="E940" s="4" t="s">
        <v>48</v>
      </c>
      <c r="F940" s="4" t="s">
        <v>108</v>
      </c>
      <c r="G940" s="4" t="s">
        <v>125</v>
      </c>
      <c r="H940" s="4" t="s">
        <v>25</v>
      </c>
      <c r="I940" s="4" t="s">
        <v>156</v>
      </c>
      <c r="J940" s="3">
        <v>3</v>
      </c>
      <c r="K940" s="3">
        <v>25</v>
      </c>
      <c r="L940" s="3">
        <v>24</v>
      </c>
      <c r="M940" s="3">
        <v>0</v>
      </c>
      <c r="N940" s="3">
        <v>0</v>
      </c>
      <c r="O940" s="3">
        <v>1</v>
      </c>
      <c r="P940" s="3">
        <f t="shared" si="0"/>
        <v>0</v>
      </c>
      <c r="Q940" s="3">
        <f t="shared" si="1"/>
        <v>96</v>
      </c>
      <c r="R940" s="3">
        <f t="shared" si="2"/>
        <v>4</v>
      </c>
      <c r="S940" s="11"/>
    </row>
    <row r="941" ht="13.5" customHeight="1" spans="1:19">
      <c r="A941" s="4" t="s">
        <v>57</v>
      </c>
      <c r="B941" s="3">
        <v>1847</v>
      </c>
      <c r="C941" s="3">
        <v>10763</v>
      </c>
      <c r="D941" s="3">
        <v>0.1</v>
      </c>
      <c r="E941" s="4" t="s">
        <v>48</v>
      </c>
      <c r="F941" s="4" t="s">
        <v>108</v>
      </c>
      <c r="G941" s="4" t="s">
        <v>125</v>
      </c>
      <c r="H941" s="4" t="s">
        <v>25</v>
      </c>
      <c r="I941" s="4" t="s">
        <v>156</v>
      </c>
      <c r="J941" s="3">
        <v>4</v>
      </c>
      <c r="K941" s="3">
        <v>25</v>
      </c>
      <c r="L941" s="3">
        <v>25</v>
      </c>
      <c r="M941" s="3">
        <v>0</v>
      </c>
      <c r="N941" s="3">
        <v>0</v>
      </c>
      <c r="O941" s="3">
        <v>0</v>
      </c>
      <c r="P941" s="3">
        <f t="shared" si="0"/>
        <v>0</v>
      </c>
      <c r="Q941" s="3">
        <f t="shared" si="1"/>
        <v>100</v>
      </c>
      <c r="R941" s="3">
        <f t="shared" si="2"/>
        <v>0</v>
      </c>
      <c r="S941" s="11"/>
    </row>
    <row r="942" ht="13.5" customHeight="1" spans="1:21">
      <c r="A942" s="4" t="s">
        <v>42</v>
      </c>
      <c r="B942" s="3">
        <v>1441</v>
      </c>
      <c r="C942" s="3">
        <v>9420</v>
      </c>
      <c r="D942" s="3">
        <v>0.1</v>
      </c>
      <c r="E942" s="4" t="s">
        <v>48</v>
      </c>
      <c r="F942" s="4" t="s">
        <v>139</v>
      </c>
      <c r="G942" s="4" t="s">
        <v>109</v>
      </c>
      <c r="H942" s="4" t="s">
        <v>25</v>
      </c>
      <c r="I942" s="4" t="s">
        <v>156</v>
      </c>
      <c r="J942" s="3">
        <v>1</v>
      </c>
      <c r="K942" s="3">
        <v>25</v>
      </c>
      <c r="L942" s="3">
        <v>6</v>
      </c>
      <c r="M942" s="3">
        <v>12</v>
      </c>
      <c r="N942" s="3">
        <v>5</v>
      </c>
      <c r="O942" s="3">
        <v>2</v>
      </c>
      <c r="P942" s="3">
        <f t="shared" si="0"/>
        <v>0</v>
      </c>
      <c r="Q942" s="3">
        <f t="shared" si="1"/>
        <v>30</v>
      </c>
      <c r="R942" s="3">
        <f t="shared" si="2"/>
        <v>10</v>
      </c>
      <c r="S942" s="11">
        <f>AVERAGE(Q942:Q945)</f>
        <v>14.047619047619</v>
      </c>
      <c r="T942" s="7">
        <f>AVERAGE(R942:R945)</f>
        <v>26.7063492063492</v>
      </c>
      <c r="U942" s="8">
        <f>(L942+L943+L944+L945+O942+O943+O944+O945)/(K942+K943+K944+K945)*100</f>
        <v>31</v>
      </c>
    </row>
    <row r="943" ht="13.5" customHeight="1" spans="1:19">
      <c r="A943" s="4" t="s">
        <v>42</v>
      </c>
      <c r="B943" s="3">
        <v>1441</v>
      </c>
      <c r="C943" s="3">
        <v>9420</v>
      </c>
      <c r="D943" s="3">
        <v>0.1</v>
      </c>
      <c r="E943" s="4" t="s">
        <v>48</v>
      </c>
      <c r="F943" s="4" t="s">
        <v>139</v>
      </c>
      <c r="G943" s="4" t="s">
        <v>109</v>
      </c>
      <c r="H943" s="4" t="s">
        <v>25</v>
      </c>
      <c r="I943" s="4" t="s">
        <v>156</v>
      </c>
      <c r="J943" s="3">
        <v>2</v>
      </c>
      <c r="K943" s="3">
        <v>25</v>
      </c>
      <c r="L943" s="3">
        <v>3</v>
      </c>
      <c r="M943" s="3">
        <v>7</v>
      </c>
      <c r="N943" s="3">
        <v>7</v>
      </c>
      <c r="O943" s="3">
        <v>8</v>
      </c>
      <c r="P943" s="3">
        <f t="shared" si="0"/>
        <v>0</v>
      </c>
      <c r="Q943" s="3">
        <f t="shared" si="1"/>
        <v>16.6666666666667</v>
      </c>
      <c r="R943" s="3">
        <f t="shared" si="2"/>
        <v>44.4444444444444</v>
      </c>
      <c r="S943" s="11"/>
    </row>
    <row r="944" ht="13.5" customHeight="1" spans="1:19">
      <c r="A944" s="4" t="s">
        <v>42</v>
      </c>
      <c r="B944" s="3">
        <v>1441</v>
      </c>
      <c r="C944" s="3">
        <v>9420</v>
      </c>
      <c r="D944" s="3">
        <v>0.1</v>
      </c>
      <c r="E944" s="4" t="s">
        <v>48</v>
      </c>
      <c r="F944" s="4" t="s">
        <v>139</v>
      </c>
      <c r="G944" s="4" t="s">
        <v>109</v>
      </c>
      <c r="H944" s="4" t="s">
        <v>25</v>
      </c>
      <c r="I944" s="4" t="s">
        <v>156</v>
      </c>
      <c r="J944" s="3">
        <v>3</v>
      </c>
      <c r="K944" s="3">
        <v>25</v>
      </c>
      <c r="L944" s="3">
        <v>0</v>
      </c>
      <c r="M944" s="3">
        <v>12</v>
      </c>
      <c r="N944" s="3">
        <v>7</v>
      </c>
      <c r="O944" s="3">
        <v>6</v>
      </c>
      <c r="P944" s="3">
        <f t="shared" si="0"/>
        <v>0</v>
      </c>
      <c r="Q944" s="3">
        <f t="shared" si="1"/>
        <v>0</v>
      </c>
      <c r="R944" s="3">
        <f t="shared" si="2"/>
        <v>33.3333333333333</v>
      </c>
      <c r="S944" s="11"/>
    </row>
    <row r="945" ht="13.5" customHeight="1" spans="1:19">
      <c r="A945" s="4" t="s">
        <v>42</v>
      </c>
      <c r="B945" s="3">
        <v>1441</v>
      </c>
      <c r="C945" s="3">
        <v>9420</v>
      </c>
      <c r="D945" s="3">
        <v>0.1</v>
      </c>
      <c r="E945" s="4" t="s">
        <v>48</v>
      </c>
      <c r="F945" s="4" t="s">
        <v>139</v>
      </c>
      <c r="G945" s="4" t="s">
        <v>109</v>
      </c>
      <c r="H945" s="4" t="s">
        <v>25</v>
      </c>
      <c r="I945" s="4" t="s">
        <v>156</v>
      </c>
      <c r="J945" s="3">
        <v>4</v>
      </c>
      <c r="K945" s="3">
        <v>25</v>
      </c>
      <c r="L945" s="3">
        <v>2</v>
      </c>
      <c r="M945" s="3">
        <v>15</v>
      </c>
      <c r="N945" s="3">
        <v>4</v>
      </c>
      <c r="O945" s="3">
        <v>4</v>
      </c>
      <c r="P945" s="3">
        <f t="shared" si="0"/>
        <v>0</v>
      </c>
      <c r="Q945" s="3">
        <f t="shared" si="1"/>
        <v>9.52380952380952</v>
      </c>
      <c r="R945" s="3">
        <f t="shared" si="2"/>
        <v>19.047619047619</v>
      </c>
      <c r="S945" s="11"/>
    </row>
    <row r="946" ht="13.5" customHeight="1" spans="1:21">
      <c r="A946" s="4" t="s">
        <v>32</v>
      </c>
      <c r="B946" s="3">
        <v>1342</v>
      </c>
      <c r="C946" s="3">
        <v>9074</v>
      </c>
      <c r="D946" s="3">
        <v>0.1</v>
      </c>
      <c r="E946" s="4" t="s">
        <v>48</v>
      </c>
      <c r="F946" s="4" t="s">
        <v>108</v>
      </c>
      <c r="G946" s="3" t="s">
        <v>138</v>
      </c>
      <c r="H946" s="4" t="s">
        <v>25</v>
      </c>
      <c r="I946" s="4" t="s">
        <v>156</v>
      </c>
      <c r="J946" s="3">
        <v>1</v>
      </c>
      <c r="K946" s="3">
        <v>25</v>
      </c>
      <c r="L946" s="3">
        <v>22</v>
      </c>
      <c r="M946" s="3">
        <v>1</v>
      </c>
      <c r="N946" s="3">
        <v>2</v>
      </c>
      <c r="O946" s="3">
        <v>0</v>
      </c>
      <c r="P946" s="3">
        <f t="shared" si="0"/>
        <v>0</v>
      </c>
      <c r="Q946" s="3">
        <f t="shared" si="1"/>
        <v>95.6521739130435</v>
      </c>
      <c r="R946" s="3">
        <f t="shared" si="2"/>
        <v>0</v>
      </c>
      <c r="S946" s="11">
        <f>AVERAGE(Q946:Q949)</f>
        <v>87.6557971014493</v>
      </c>
      <c r="T946" s="7">
        <f>AVERAGE(R946:R949)</f>
        <v>3.04166666666667</v>
      </c>
      <c r="U946" s="8">
        <f>(L946+L947+L948+L949+O946+O947+O948+O949)/(K946+K947+K948+K949)*100</f>
        <v>86</v>
      </c>
    </row>
    <row r="947" ht="13.5" customHeight="1" spans="1:19">
      <c r="A947" s="4" t="s">
        <v>32</v>
      </c>
      <c r="B947" s="3">
        <v>1342</v>
      </c>
      <c r="C947" s="3">
        <v>9074</v>
      </c>
      <c r="D947" s="3">
        <v>0.1</v>
      </c>
      <c r="E947" s="4" t="s">
        <v>48</v>
      </c>
      <c r="F947" s="4" t="s">
        <v>108</v>
      </c>
      <c r="G947" s="3" t="s">
        <v>138</v>
      </c>
      <c r="H947" s="4" t="s">
        <v>25</v>
      </c>
      <c r="I947" s="4" t="s">
        <v>156</v>
      </c>
      <c r="J947" s="3">
        <v>2</v>
      </c>
      <c r="K947" s="3">
        <v>25</v>
      </c>
      <c r="L947" s="3">
        <v>21</v>
      </c>
      <c r="M947" s="3">
        <v>2</v>
      </c>
      <c r="N947" s="3">
        <v>2</v>
      </c>
      <c r="O947" s="3">
        <v>0</v>
      </c>
      <c r="P947" s="3">
        <f t="shared" si="0"/>
        <v>0</v>
      </c>
      <c r="Q947" s="3">
        <f t="shared" si="1"/>
        <v>91.304347826087</v>
      </c>
      <c r="R947" s="3">
        <f t="shared" si="2"/>
        <v>0</v>
      </c>
      <c r="S947" s="11"/>
    </row>
    <row r="948" ht="13.5" customHeight="1" spans="1:19">
      <c r="A948" s="4" t="s">
        <v>32</v>
      </c>
      <c r="B948" s="3">
        <v>1342</v>
      </c>
      <c r="C948" s="3">
        <v>9074</v>
      </c>
      <c r="D948" s="3">
        <v>0.1</v>
      </c>
      <c r="E948" s="4" t="s">
        <v>48</v>
      </c>
      <c r="F948" s="4" t="s">
        <v>108</v>
      </c>
      <c r="G948" s="3" t="s">
        <v>138</v>
      </c>
      <c r="H948" s="4" t="s">
        <v>25</v>
      </c>
      <c r="I948" s="4" t="s">
        <v>156</v>
      </c>
      <c r="J948" s="3">
        <v>3</v>
      </c>
      <c r="K948" s="3">
        <v>25</v>
      </c>
      <c r="L948" s="3">
        <v>18</v>
      </c>
      <c r="M948" s="3">
        <v>5</v>
      </c>
      <c r="N948" s="3">
        <v>0</v>
      </c>
      <c r="O948" s="3">
        <v>2</v>
      </c>
      <c r="P948" s="3">
        <f t="shared" si="0"/>
        <v>0</v>
      </c>
      <c r="Q948" s="3">
        <f t="shared" si="1"/>
        <v>72</v>
      </c>
      <c r="R948" s="3">
        <f t="shared" si="2"/>
        <v>8</v>
      </c>
      <c r="S948" s="11"/>
    </row>
    <row r="949" ht="13.5" customHeight="1" spans="1:19">
      <c r="A949" s="4" t="s">
        <v>32</v>
      </c>
      <c r="B949" s="3">
        <v>1342</v>
      </c>
      <c r="C949" s="3">
        <v>9074</v>
      </c>
      <c r="D949" s="3">
        <v>0.1</v>
      </c>
      <c r="E949" s="4" t="s">
        <v>48</v>
      </c>
      <c r="F949" s="4" t="s">
        <v>108</v>
      </c>
      <c r="G949" s="3" t="s">
        <v>138</v>
      </c>
      <c r="H949" s="4" t="s">
        <v>25</v>
      </c>
      <c r="I949" s="4" t="s">
        <v>156</v>
      </c>
      <c r="J949" s="3">
        <v>4</v>
      </c>
      <c r="K949" s="3">
        <v>25</v>
      </c>
      <c r="L949" s="3">
        <v>22</v>
      </c>
      <c r="M949" s="3">
        <v>1</v>
      </c>
      <c r="N949" s="3">
        <v>1</v>
      </c>
      <c r="O949" s="3">
        <v>1</v>
      </c>
      <c r="P949" s="3">
        <f t="shared" si="0"/>
        <v>0</v>
      </c>
      <c r="Q949" s="3">
        <f t="shared" si="1"/>
        <v>91.6666666666667</v>
      </c>
      <c r="R949" s="3">
        <f t="shared" si="2"/>
        <v>4.16666666666667</v>
      </c>
      <c r="S949" s="11"/>
    </row>
    <row r="950" ht="13.5" customHeight="1" spans="1:21">
      <c r="A950" s="4" t="s">
        <v>77</v>
      </c>
      <c r="B950" s="3">
        <v>1746</v>
      </c>
      <c r="C950" s="3">
        <v>10331</v>
      </c>
      <c r="D950" s="3">
        <v>0.1</v>
      </c>
      <c r="E950" s="4" t="s">
        <v>28</v>
      </c>
      <c r="F950" s="4" t="s">
        <v>72</v>
      </c>
      <c r="G950" s="3" t="s">
        <v>73</v>
      </c>
      <c r="H950" s="4" t="s">
        <v>40</v>
      </c>
      <c r="I950" s="4" t="s">
        <v>156</v>
      </c>
      <c r="J950" s="3">
        <v>1</v>
      </c>
      <c r="K950" s="3">
        <v>25</v>
      </c>
      <c r="L950" s="3">
        <v>1</v>
      </c>
      <c r="M950" s="3">
        <v>7</v>
      </c>
      <c r="N950" s="3">
        <v>10</v>
      </c>
      <c r="O950" s="3">
        <v>7</v>
      </c>
      <c r="P950" s="3">
        <f t="shared" si="0"/>
        <v>0</v>
      </c>
      <c r="Q950" s="3">
        <f t="shared" si="1"/>
        <v>6.66666666666667</v>
      </c>
      <c r="R950" s="3">
        <f t="shared" si="2"/>
        <v>46.6666666666667</v>
      </c>
      <c r="S950" s="11">
        <f>AVERAGE(Q950:Q953)</f>
        <v>1.66666666666667</v>
      </c>
      <c r="T950" s="7">
        <f>AVERAGE(R950:R953)</f>
        <v>44.2600732600732</v>
      </c>
      <c r="U950" s="8">
        <f>(L950+L951+L952+L953+O950+O951+O952+O953)/(K950+K951+K952+K953)*100</f>
        <v>26.2626262626263</v>
      </c>
    </row>
    <row r="951" ht="13.5" customHeight="1" spans="1:19">
      <c r="A951" s="4" t="s">
        <v>77</v>
      </c>
      <c r="B951" s="3">
        <v>1746</v>
      </c>
      <c r="C951" s="3">
        <v>10331</v>
      </c>
      <c r="D951" s="3">
        <v>0.1</v>
      </c>
      <c r="E951" s="4" t="s">
        <v>28</v>
      </c>
      <c r="F951" s="4" t="s">
        <v>72</v>
      </c>
      <c r="G951" s="3" t="s">
        <v>73</v>
      </c>
      <c r="H951" s="4" t="s">
        <v>40</v>
      </c>
      <c r="I951" s="4" t="s">
        <v>156</v>
      </c>
      <c r="J951" s="3">
        <v>2</v>
      </c>
      <c r="K951" s="3">
        <v>24</v>
      </c>
      <c r="L951" s="3">
        <v>0</v>
      </c>
      <c r="M951" s="3">
        <v>6</v>
      </c>
      <c r="N951" s="3">
        <v>10</v>
      </c>
      <c r="O951" s="3">
        <v>8</v>
      </c>
      <c r="P951" s="3">
        <f t="shared" si="0"/>
        <v>0</v>
      </c>
      <c r="Q951" s="3">
        <f t="shared" si="1"/>
        <v>0</v>
      </c>
      <c r="R951" s="3">
        <f t="shared" si="2"/>
        <v>57.1428571428571</v>
      </c>
      <c r="S951" s="11"/>
    </row>
    <row r="952" ht="13.5" customHeight="1" spans="1:19">
      <c r="A952" s="4" t="s">
        <v>77</v>
      </c>
      <c r="B952" s="3">
        <v>1746</v>
      </c>
      <c r="C952" s="3">
        <v>10331</v>
      </c>
      <c r="D952" s="3">
        <v>0.1</v>
      </c>
      <c r="E952" s="4" t="s">
        <v>28</v>
      </c>
      <c r="F952" s="4" t="s">
        <v>72</v>
      </c>
      <c r="G952" s="3" t="s">
        <v>73</v>
      </c>
      <c r="H952" s="4" t="s">
        <v>40</v>
      </c>
      <c r="I952" s="4" t="s">
        <v>156</v>
      </c>
      <c r="J952" s="3">
        <v>3</v>
      </c>
      <c r="K952" s="3">
        <v>25</v>
      </c>
      <c r="L952" s="3">
        <v>0</v>
      </c>
      <c r="M952" s="3">
        <v>4</v>
      </c>
      <c r="N952" s="3">
        <v>12</v>
      </c>
      <c r="O952" s="3">
        <v>9</v>
      </c>
      <c r="P952" s="3">
        <f t="shared" si="0"/>
        <v>0</v>
      </c>
      <c r="Q952" s="3">
        <f t="shared" si="1"/>
        <v>0</v>
      </c>
      <c r="R952" s="3">
        <f t="shared" si="2"/>
        <v>69.2307692307692</v>
      </c>
      <c r="S952" s="11"/>
    </row>
    <row r="953" ht="13.5" customHeight="1" spans="1:19">
      <c r="A953" s="4" t="s">
        <v>77</v>
      </c>
      <c r="B953" s="3">
        <v>1746</v>
      </c>
      <c r="C953" s="3">
        <v>10331</v>
      </c>
      <c r="D953" s="3">
        <v>0.1</v>
      </c>
      <c r="E953" s="4" t="s">
        <v>28</v>
      </c>
      <c r="F953" s="4" t="s">
        <v>72</v>
      </c>
      <c r="G953" s="3" t="s">
        <v>73</v>
      </c>
      <c r="H953" s="4" t="s">
        <v>40</v>
      </c>
      <c r="I953" s="4" t="s">
        <v>156</v>
      </c>
      <c r="J953" s="3">
        <v>4</v>
      </c>
      <c r="K953" s="3">
        <v>25</v>
      </c>
      <c r="L953" s="3">
        <v>0</v>
      </c>
      <c r="M953" s="3">
        <v>24</v>
      </c>
      <c r="N953" s="3">
        <v>0</v>
      </c>
      <c r="O953" s="3">
        <v>1</v>
      </c>
      <c r="P953" s="3">
        <f t="shared" si="0"/>
        <v>0</v>
      </c>
      <c r="Q953" s="3">
        <f t="shared" si="1"/>
        <v>0</v>
      </c>
      <c r="R953" s="3">
        <f t="shared" si="2"/>
        <v>4</v>
      </c>
      <c r="S953" s="11"/>
    </row>
    <row r="954" ht="13.5" customHeight="1" spans="1:21">
      <c r="A954" s="4" t="s">
        <v>47</v>
      </c>
      <c r="B954" s="3">
        <v>1504</v>
      </c>
      <c r="C954" s="3">
        <v>9859</v>
      </c>
      <c r="D954" s="3">
        <v>0.1</v>
      </c>
      <c r="E954" s="4" t="s">
        <v>48</v>
      </c>
      <c r="F954" s="4" t="s">
        <v>139</v>
      </c>
      <c r="G954" s="3" t="s">
        <v>140</v>
      </c>
      <c r="H954" s="4" t="s">
        <v>25</v>
      </c>
      <c r="I954" s="4" t="s">
        <v>156</v>
      </c>
      <c r="J954" s="3">
        <v>1</v>
      </c>
      <c r="K954" s="3">
        <v>25</v>
      </c>
      <c r="L954" s="3">
        <v>12</v>
      </c>
      <c r="M954" s="3">
        <v>8</v>
      </c>
      <c r="N954" s="3">
        <v>3</v>
      </c>
      <c r="O954" s="3">
        <v>2</v>
      </c>
      <c r="P954" s="3">
        <f t="shared" si="0"/>
        <v>0</v>
      </c>
      <c r="Q954" s="3">
        <f t="shared" si="1"/>
        <v>54.5454545454545</v>
      </c>
      <c r="R954" s="3">
        <f t="shared" si="2"/>
        <v>9.09090909090909</v>
      </c>
      <c r="S954" s="11">
        <f>AVERAGE(Q954:Q957)</f>
        <v>52.3534688995215</v>
      </c>
      <c r="T954" s="7">
        <f>AVERAGE(R954:R957)</f>
        <v>14.5918062200957</v>
      </c>
      <c r="U954" s="8">
        <f>(L954+L955+L956+L957+O954+O955+O956+O957)/(K954+K955+K956+K957)*100</f>
        <v>51</v>
      </c>
    </row>
    <row r="955" ht="13.5" customHeight="1" spans="1:19">
      <c r="A955" s="4" t="s">
        <v>47</v>
      </c>
      <c r="B955" s="3">
        <v>1504</v>
      </c>
      <c r="C955" s="3">
        <v>9859</v>
      </c>
      <c r="D955" s="3">
        <v>0.1</v>
      </c>
      <c r="E955" s="4" t="s">
        <v>48</v>
      </c>
      <c r="F955" s="4" t="s">
        <v>139</v>
      </c>
      <c r="G955" s="3" t="s">
        <v>140</v>
      </c>
      <c r="H955" s="4" t="s">
        <v>25</v>
      </c>
      <c r="I955" s="4" t="s">
        <v>156</v>
      </c>
      <c r="J955" s="3">
        <v>2</v>
      </c>
      <c r="K955" s="3">
        <v>25</v>
      </c>
      <c r="L955" s="3">
        <v>10</v>
      </c>
      <c r="M955" s="3">
        <v>3</v>
      </c>
      <c r="N955" s="3">
        <v>9</v>
      </c>
      <c r="O955" s="3">
        <v>3</v>
      </c>
      <c r="P955" s="3">
        <f t="shared" si="0"/>
        <v>0</v>
      </c>
      <c r="Q955" s="3">
        <f t="shared" si="1"/>
        <v>62.5</v>
      </c>
      <c r="R955" s="3">
        <f t="shared" si="2"/>
        <v>18.75</v>
      </c>
      <c r="S955" s="11"/>
    </row>
    <row r="956" ht="13.5" customHeight="1" spans="1:19">
      <c r="A956" s="4" t="s">
        <v>47</v>
      </c>
      <c r="B956" s="3">
        <v>1504</v>
      </c>
      <c r="C956" s="3">
        <v>9859</v>
      </c>
      <c r="D956" s="3">
        <v>0.1</v>
      </c>
      <c r="E956" s="4" t="s">
        <v>48</v>
      </c>
      <c r="F956" s="4" t="s">
        <v>139</v>
      </c>
      <c r="G956" s="3" t="s">
        <v>140</v>
      </c>
      <c r="H956" s="4" t="s">
        <v>25</v>
      </c>
      <c r="I956" s="4" t="s">
        <v>156</v>
      </c>
      <c r="J956" s="3">
        <v>3</v>
      </c>
      <c r="K956" s="3">
        <v>25</v>
      </c>
      <c r="L956" s="3">
        <v>9</v>
      </c>
      <c r="M956" s="3">
        <v>8</v>
      </c>
      <c r="N956" s="3">
        <v>6</v>
      </c>
      <c r="O956" s="3">
        <v>2</v>
      </c>
      <c r="P956" s="3">
        <f t="shared" si="0"/>
        <v>0</v>
      </c>
      <c r="Q956" s="3">
        <f t="shared" si="1"/>
        <v>47.3684210526316</v>
      </c>
      <c r="R956" s="3">
        <f t="shared" si="2"/>
        <v>10.5263157894737</v>
      </c>
      <c r="S956" s="11"/>
    </row>
    <row r="957" ht="13.5" customHeight="1" spans="1:19">
      <c r="A957" s="4" t="s">
        <v>47</v>
      </c>
      <c r="B957" s="3">
        <v>1504</v>
      </c>
      <c r="C957" s="3">
        <v>9859</v>
      </c>
      <c r="D957" s="3">
        <v>0.1</v>
      </c>
      <c r="E957" s="4" t="s">
        <v>48</v>
      </c>
      <c r="F957" s="4" t="s">
        <v>139</v>
      </c>
      <c r="G957" s="3" t="s">
        <v>140</v>
      </c>
      <c r="H957" s="4" t="s">
        <v>25</v>
      </c>
      <c r="I957" s="4" t="s">
        <v>156</v>
      </c>
      <c r="J957" s="3">
        <v>4</v>
      </c>
      <c r="K957" s="3">
        <v>25</v>
      </c>
      <c r="L957" s="3">
        <v>9</v>
      </c>
      <c r="M957" s="3">
        <v>7</v>
      </c>
      <c r="N957" s="3">
        <v>5</v>
      </c>
      <c r="O957" s="3">
        <v>4</v>
      </c>
      <c r="P957" s="3">
        <f t="shared" si="0"/>
        <v>0</v>
      </c>
      <c r="Q957" s="3">
        <f t="shared" si="1"/>
        <v>45</v>
      </c>
      <c r="R957" s="3">
        <f t="shared" si="2"/>
        <v>20</v>
      </c>
      <c r="S957" s="11"/>
    </row>
    <row r="958" ht="13.5" customHeight="1" spans="1:21">
      <c r="A958" s="4" t="s">
        <v>46</v>
      </c>
      <c r="B958" s="3">
        <v>1270</v>
      </c>
      <c r="C958" s="3">
        <v>8757</v>
      </c>
      <c r="D958" s="3">
        <v>0.1</v>
      </c>
      <c r="E958" s="4" t="s">
        <v>22</v>
      </c>
      <c r="F958" s="4" t="s">
        <v>23</v>
      </c>
      <c r="G958" s="4" t="s">
        <v>24</v>
      </c>
      <c r="H958" s="4" t="s">
        <v>25</v>
      </c>
      <c r="I958" s="4" t="s">
        <v>156</v>
      </c>
      <c r="J958" s="3">
        <v>1</v>
      </c>
      <c r="K958" s="3">
        <v>25</v>
      </c>
      <c r="L958" s="3">
        <v>25</v>
      </c>
      <c r="M958" s="3">
        <v>0</v>
      </c>
      <c r="N958" s="3">
        <v>0</v>
      </c>
      <c r="O958" s="3">
        <v>0</v>
      </c>
      <c r="P958" s="3">
        <f t="shared" si="0"/>
        <v>0</v>
      </c>
      <c r="Q958" s="3">
        <f t="shared" si="1"/>
        <v>100</v>
      </c>
      <c r="R958" s="3">
        <f t="shared" si="2"/>
        <v>0</v>
      </c>
      <c r="S958" s="11">
        <f>AVERAGE(Q958:Q961)</f>
        <v>97</v>
      </c>
      <c r="T958" s="7">
        <f>AVERAGE(R958:R961)</f>
        <v>3</v>
      </c>
      <c r="U958" s="8">
        <f>(L958+L959+L960+L961+O958+O959+O960+O961)/(K958+K959+K960+K961)*100</f>
        <v>100</v>
      </c>
    </row>
    <row r="959" ht="13.5" customHeight="1" spans="1:19">
      <c r="A959" s="4" t="s">
        <v>46</v>
      </c>
      <c r="B959" s="3">
        <v>1270</v>
      </c>
      <c r="C959" s="3">
        <v>8757</v>
      </c>
      <c r="D959" s="3">
        <v>0.1</v>
      </c>
      <c r="E959" s="4" t="s">
        <v>22</v>
      </c>
      <c r="F959" s="4" t="s">
        <v>23</v>
      </c>
      <c r="G959" s="4" t="s">
        <v>24</v>
      </c>
      <c r="H959" s="4" t="s">
        <v>25</v>
      </c>
      <c r="I959" s="4" t="s">
        <v>156</v>
      </c>
      <c r="J959" s="3">
        <v>2</v>
      </c>
      <c r="K959" s="3">
        <v>25</v>
      </c>
      <c r="L959" s="3">
        <v>25</v>
      </c>
      <c r="M959" s="3">
        <v>0</v>
      </c>
      <c r="N959" s="3">
        <v>0</v>
      </c>
      <c r="O959" s="3">
        <v>0</v>
      </c>
      <c r="P959" s="3">
        <f t="shared" si="0"/>
        <v>0</v>
      </c>
      <c r="Q959" s="3">
        <f t="shared" si="1"/>
        <v>100</v>
      </c>
      <c r="R959" s="3">
        <f t="shared" si="2"/>
        <v>0</v>
      </c>
      <c r="S959" s="11"/>
    </row>
    <row r="960" ht="13.5" customHeight="1" spans="1:19">
      <c r="A960" s="4" t="s">
        <v>46</v>
      </c>
      <c r="B960" s="3">
        <v>1270</v>
      </c>
      <c r="C960" s="3">
        <v>8757</v>
      </c>
      <c r="D960" s="3">
        <v>0.1</v>
      </c>
      <c r="E960" s="4" t="s">
        <v>22</v>
      </c>
      <c r="F960" s="4" t="s">
        <v>23</v>
      </c>
      <c r="G960" s="4" t="s">
        <v>24</v>
      </c>
      <c r="H960" s="4" t="s">
        <v>25</v>
      </c>
      <c r="I960" s="4" t="s">
        <v>156</v>
      </c>
      <c r="J960" s="3">
        <v>3</v>
      </c>
      <c r="K960" s="3">
        <v>25</v>
      </c>
      <c r="L960" s="3">
        <v>23</v>
      </c>
      <c r="M960" s="3">
        <v>0</v>
      </c>
      <c r="N960" s="3">
        <v>0</v>
      </c>
      <c r="O960" s="3">
        <v>2</v>
      </c>
      <c r="P960" s="3">
        <f t="shared" si="0"/>
        <v>0</v>
      </c>
      <c r="Q960" s="3">
        <f t="shared" si="1"/>
        <v>92</v>
      </c>
      <c r="R960" s="3">
        <f t="shared" si="2"/>
        <v>8</v>
      </c>
      <c r="S960" s="11"/>
    </row>
    <row r="961" ht="13.5" customHeight="1" spans="1:19">
      <c r="A961" s="4" t="s">
        <v>46</v>
      </c>
      <c r="B961" s="3">
        <v>1270</v>
      </c>
      <c r="C961" s="3">
        <v>8757</v>
      </c>
      <c r="D961" s="3">
        <v>0.1</v>
      </c>
      <c r="E961" s="4" t="s">
        <v>22</v>
      </c>
      <c r="F961" s="4" t="s">
        <v>23</v>
      </c>
      <c r="G961" s="4" t="s">
        <v>24</v>
      </c>
      <c r="H961" s="4" t="s">
        <v>25</v>
      </c>
      <c r="I961" s="4" t="s">
        <v>156</v>
      </c>
      <c r="J961" s="3">
        <v>4</v>
      </c>
      <c r="K961" s="3">
        <v>25</v>
      </c>
      <c r="L961" s="3">
        <v>24</v>
      </c>
      <c r="M961" s="3">
        <v>0</v>
      </c>
      <c r="N961" s="3">
        <v>0</v>
      </c>
      <c r="O961" s="3">
        <v>1</v>
      </c>
      <c r="P961" s="3">
        <f t="shared" si="0"/>
        <v>0</v>
      </c>
      <c r="Q961" s="3">
        <f t="shared" si="1"/>
        <v>96</v>
      </c>
      <c r="R961" s="3">
        <f t="shared" si="2"/>
        <v>4</v>
      </c>
      <c r="S961" s="11"/>
    </row>
    <row r="962" ht="13.5" customHeight="1" spans="1:21">
      <c r="A962" s="4" t="s">
        <v>60</v>
      </c>
      <c r="B962" s="3">
        <v>1330</v>
      </c>
      <c r="C962" s="3">
        <v>9133</v>
      </c>
      <c r="D962" s="3">
        <v>2</v>
      </c>
      <c r="E962" s="4" t="s">
        <v>22</v>
      </c>
      <c r="F962" s="4" t="s">
        <v>23</v>
      </c>
      <c r="G962" s="4" t="s">
        <v>24</v>
      </c>
      <c r="H962" s="4" t="s">
        <v>25</v>
      </c>
      <c r="I962" s="4" t="s">
        <v>156</v>
      </c>
      <c r="J962" s="3">
        <v>1</v>
      </c>
      <c r="K962" s="3">
        <v>25</v>
      </c>
      <c r="L962" s="3">
        <v>25</v>
      </c>
      <c r="M962" s="3">
        <v>0</v>
      </c>
      <c r="N962" s="3">
        <v>0</v>
      </c>
      <c r="O962" s="3">
        <v>0</v>
      </c>
      <c r="P962" s="3">
        <f t="shared" si="0"/>
        <v>0</v>
      </c>
      <c r="Q962" s="3">
        <f t="shared" si="1"/>
        <v>100</v>
      </c>
      <c r="R962" s="3">
        <f t="shared" si="2"/>
        <v>0</v>
      </c>
      <c r="S962" s="11">
        <f>AVERAGE(Q962:Q965)</f>
        <v>100</v>
      </c>
      <c r="T962" s="7">
        <f>AVERAGE(R962:R965)</f>
        <v>0</v>
      </c>
      <c r="U962" s="8">
        <f>(L962+L963+L964+L965+O962+O963+O964+O965)/(K962+K963+K964+K965)*100</f>
        <v>100</v>
      </c>
    </row>
    <row r="963" ht="13.5" customHeight="1" spans="1:19">
      <c r="A963" s="4" t="s">
        <v>60</v>
      </c>
      <c r="B963" s="3">
        <v>1330</v>
      </c>
      <c r="C963" s="3">
        <v>9133</v>
      </c>
      <c r="D963" s="3">
        <v>2</v>
      </c>
      <c r="E963" s="4" t="s">
        <v>22</v>
      </c>
      <c r="F963" s="4" t="s">
        <v>23</v>
      </c>
      <c r="G963" s="4" t="s">
        <v>24</v>
      </c>
      <c r="H963" s="4" t="s">
        <v>25</v>
      </c>
      <c r="I963" s="4" t="s">
        <v>156</v>
      </c>
      <c r="J963" s="3">
        <v>2</v>
      </c>
      <c r="K963" s="3">
        <v>25</v>
      </c>
      <c r="L963" s="3">
        <v>25</v>
      </c>
      <c r="M963" s="3">
        <v>0</v>
      </c>
      <c r="N963" s="3">
        <v>0</v>
      </c>
      <c r="O963" s="3">
        <v>0</v>
      </c>
      <c r="P963" s="3">
        <f t="shared" si="0"/>
        <v>0</v>
      </c>
      <c r="Q963" s="3">
        <f t="shared" si="1"/>
        <v>100</v>
      </c>
      <c r="R963" s="3">
        <f t="shared" si="2"/>
        <v>0</v>
      </c>
      <c r="S963" s="11"/>
    </row>
    <row r="964" ht="13.5" customHeight="1" spans="1:19">
      <c r="A964" s="4" t="s">
        <v>60</v>
      </c>
      <c r="B964" s="3">
        <v>1330</v>
      </c>
      <c r="C964" s="3">
        <v>9133</v>
      </c>
      <c r="D964" s="3">
        <v>2</v>
      </c>
      <c r="E964" s="4" t="s">
        <v>22</v>
      </c>
      <c r="F964" s="4" t="s">
        <v>23</v>
      </c>
      <c r="G964" s="4" t="s">
        <v>24</v>
      </c>
      <c r="H964" s="4" t="s">
        <v>25</v>
      </c>
      <c r="I964" s="4" t="s">
        <v>156</v>
      </c>
      <c r="J964" s="3">
        <v>3</v>
      </c>
      <c r="K964" s="3">
        <v>25</v>
      </c>
      <c r="L964" s="3">
        <v>25</v>
      </c>
      <c r="M964" s="3">
        <v>0</v>
      </c>
      <c r="N964" s="3">
        <v>0</v>
      </c>
      <c r="O964" s="3">
        <v>0</v>
      </c>
      <c r="P964" s="3">
        <f t="shared" si="0"/>
        <v>0</v>
      </c>
      <c r="Q964" s="3">
        <f t="shared" si="1"/>
        <v>100</v>
      </c>
      <c r="R964" s="3">
        <f t="shared" si="2"/>
        <v>0</v>
      </c>
      <c r="S964" s="11"/>
    </row>
    <row r="965" ht="13.5" customHeight="1" spans="1:19">
      <c r="A965" s="4" t="s">
        <v>60</v>
      </c>
      <c r="B965" s="3">
        <v>1330</v>
      </c>
      <c r="C965" s="3">
        <v>9133</v>
      </c>
      <c r="D965" s="3">
        <v>2</v>
      </c>
      <c r="E965" s="4" t="s">
        <v>22</v>
      </c>
      <c r="F965" s="4" t="s">
        <v>23</v>
      </c>
      <c r="G965" s="4" t="s">
        <v>24</v>
      </c>
      <c r="H965" s="4" t="s">
        <v>25</v>
      </c>
      <c r="I965" s="4" t="s">
        <v>156</v>
      </c>
      <c r="J965" s="3">
        <v>4</v>
      </c>
      <c r="K965" s="3">
        <v>25</v>
      </c>
      <c r="L965" s="3">
        <v>25</v>
      </c>
      <c r="M965" s="3">
        <v>0</v>
      </c>
      <c r="N965" s="3">
        <v>0</v>
      </c>
      <c r="O965" s="3">
        <v>0</v>
      </c>
      <c r="P965" s="3">
        <f t="shared" si="0"/>
        <v>0</v>
      </c>
      <c r="Q965" s="3">
        <f t="shared" si="1"/>
        <v>100</v>
      </c>
      <c r="R965" s="3">
        <f t="shared" si="2"/>
        <v>0</v>
      </c>
      <c r="S965" s="11"/>
    </row>
    <row r="966" ht="13.5" customHeight="1" spans="1:21">
      <c r="A966" s="4" t="s">
        <v>60</v>
      </c>
      <c r="B966" s="3">
        <v>1330</v>
      </c>
      <c r="C966" s="3">
        <v>9133</v>
      </c>
      <c r="D966" s="3">
        <v>2</v>
      </c>
      <c r="E966" s="4" t="s">
        <v>22</v>
      </c>
      <c r="F966" s="4" t="s">
        <v>152</v>
      </c>
      <c r="G966" s="4" t="s">
        <v>153</v>
      </c>
      <c r="H966" s="4" t="s">
        <v>25</v>
      </c>
      <c r="I966" s="4" t="s">
        <v>156</v>
      </c>
      <c r="J966" s="3">
        <v>1</v>
      </c>
      <c r="K966" s="3">
        <v>25</v>
      </c>
      <c r="L966" s="3">
        <v>25</v>
      </c>
      <c r="M966" s="3">
        <v>0</v>
      </c>
      <c r="N966" s="3">
        <v>0</v>
      </c>
      <c r="O966" s="3">
        <v>0</v>
      </c>
      <c r="P966" s="3">
        <f t="shared" si="0"/>
        <v>0</v>
      </c>
      <c r="Q966" s="3">
        <f t="shared" si="1"/>
        <v>100</v>
      </c>
      <c r="R966" s="3">
        <f t="shared" si="2"/>
        <v>0</v>
      </c>
      <c r="S966" s="11">
        <f>AVERAGE(Q966:Q969)</f>
        <v>97.9583333333333</v>
      </c>
      <c r="T966" s="7">
        <f>AVERAGE(R966:R969)</f>
        <v>0</v>
      </c>
      <c r="U966" s="8">
        <f>(L966+L967+L968+L969+O966+O967+O968+O969)/(K966+K967+K968+K969)*100</f>
        <v>97</v>
      </c>
    </row>
    <row r="967" ht="13.5" customHeight="1" spans="1:19">
      <c r="A967" s="4" t="s">
        <v>60</v>
      </c>
      <c r="B967" s="3">
        <v>1330</v>
      </c>
      <c r="C967" s="3">
        <v>9133</v>
      </c>
      <c r="D967" s="3">
        <v>2</v>
      </c>
      <c r="E967" s="4" t="s">
        <v>22</v>
      </c>
      <c r="F967" s="4" t="s">
        <v>152</v>
      </c>
      <c r="G967" s="4" t="s">
        <v>153</v>
      </c>
      <c r="H967" s="4" t="s">
        <v>25</v>
      </c>
      <c r="I967" s="4" t="s">
        <v>156</v>
      </c>
      <c r="J967" s="3">
        <v>2</v>
      </c>
      <c r="K967" s="3">
        <v>25</v>
      </c>
      <c r="L967" s="3">
        <v>23</v>
      </c>
      <c r="M967" s="3">
        <v>1</v>
      </c>
      <c r="N967" s="3">
        <v>1</v>
      </c>
      <c r="O967" s="3">
        <v>0</v>
      </c>
      <c r="P967" s="3">
        <f t="shared" si="0"/>
        <v>0</v>
      </c>
      <c r="Q967" s="3">
        <f t="shared" si="1"/>
        <v>95.8333333333333</v>
      </c>
      <c r="R967" s="3">
        <f t="shared" si="2"/>
        <v>0</v>
      </c>
      <c r="S967" s="11"/>
    </row>
    <row r="968" ht="13.5" customHeight="1" spans="1:19">
      <c r="A968" s="4" t="s">
        <v>60</v>
      </c>
      <c r="B968" s="3">
        <v>1330</v>
      </c>
      <c r="C968" s="3">
        <v>9133</v>
      </c>
      <c r="D968" s="3">
        <v>2</v>
      </c>
      <c r="E968" s="4" t="s">
        <v>22</v>
      </c>
      <c r="F968" s="4" t="s">
        <v>152</v>
      </c>
      <c r="G968" s="4" t="s">
        <v>153</v>
      </c>
      <c r="H968" s="4" t="s">
        <v>25</v>
      </c>
      <c r="I968" s="4" t="s">
        <v>156</v>
      </c>
      <c r="J968" s="3">
        <v>3</v>
      </c>
      <c r="K968" s="3">
        <v>25</v>
      </c>
      <c r="L968" s="3">
        <v>25</v>
      </c>
      <c r="M968" s="3">
        <v>0</v>
      </c>
      <c r="N968" s="3">
        <v>0</v>
      </c>
      <c r="O968" s="3">
        <v>0</v>
      </c>
      <c r="P968" s="3">
        <f t="shared" si="0"/>
        <v>0</v>
      </c>
      <c r="Q968" s="3">
        <f t="shared" si="1"/>
        <v>100</v>
      </c>
      <c r="R968" s="3">
        <f t="shared" si="2"/>
        <v>0</v>
      </c>
      <c r="S968" s="11"/>
    </row>
    <row r="969" ht="13.5" customHeight="1" spans="1:19">
      <c r="A969" s="4" t="s">
        <v>60</v>
      </c>
      <c r="B969" s="3">
        <v>1330</v>
      </c>
      <c r="C969" s="3">
        <v>9133</v>
      </c>
      <c r="D969" s="3">
        <v>2</v>
      </c>
      <c r="E969" s="4" t="s">
        <v>22</v>
      </c>
      <c r="F969" s="4" t="s">
        <v>152</v>
      </c>
      <c r="G969" s="4" t="s">
        <v>153</v>
      </c>
      <c r="H969" s="4" t="s">
        <v>25</v>
      </c>
      <c r="I969" s="4" t="s">
        <v>156</v>
      </c>
      <c r="J969" s="3">
        <v>4</v>
      </c>
      <c r="K969" s="3">
        <v>25</v>
      </c>
      <c r="L969" s="3">
        <v>24</v>
      </c>
      <c r="M969" s="3">
        <v>1</v>
      </c>
      <c r="N969" s="3">
        <v>0</v>
      </c>
      <c r="O969" s="3">
        <v>0</v>
      </c>
      <c r="P969" s="3">
        <f t="shared" si="0"/>
        <v>0</v>
      </c>
      <c r="Q969" s="3">
        <f t="shared" si="1"/>
        <v>96</v>
      </c>
      <c r="R969" s="3">
        <f t="shared" si="2"/>
        <v>0</v>
      </c>
      <c r="S969" s="11"/>
    </row>
    <row r="970" ht="13.5" customHeight="1" spans="1:21">
      <c r="A970" s="4" t="s">
        <v>36</v>
      </c>
      <c r="B970" s="3">
        <v>1294</v>
      </c>
      <c r="C970" s="3">
        <v>8842</v>
      </c>
      <c r="D970" s="3">
        <v>0.1</v>
      </c>
      <c r="E970" s="4" t="s">
        <v>22</v>
      </c>
      <c r="F970" s="4" t="s">
        <v>23</v>
      </c>
      <c r="G970" s="4" t="s">
        <v>24</v>
      </c>
      <c r="H970" s="4" t="s">
        <v>25</v>
      </c>
      <c r="I970" s="4" t="s">
        <v>156</v>
      </c>
      <c r="J970" s="3">
        <v>1</v>
      </c>
      <c r="K970" s="3">
        <v>25</v>
      </c>
      <c r="L970" s="3">
        <v>24</v>
      </c>
      <c r="M970" s="3">
        <v>1</v>
      </c>
      <c r="N970" s="3">
        <v>0</v>
      </c>
      <c r="O970" s="3">
        <v>0</v>
      </c>
      <c r="P970" s="3">
        <f t="shared" si="0"/>
        <v>0</v>
      </c>
      <c r="Q970" s="3">
        <f t="shared" si="1"/>
        <v>96</v>
      </c>
      <c r="R970" s="3">
        <f t="shared" si="2"/>
        <v>0</v>
      </c>
      <c r="S970" s="11">
        <f>AVERAGE(Q970:Q973)</f>
        <v>95.9130434782609</v>
      </c>
      <c r="T970" s="7">
        <f>AVERAGE(R970:R973)</f>
        <v>0</v>
      </c>
      <c r="U970" s="8">
        <f>(L970+L971+L972+L973+O970+O971+O972+O973)/(K970+K971+K972+K973)*100</f>
        <v>94</v>
      </c>
    </row>
    <row r="971" ht="13.5" customHeight="1" spans="1:19">
      <c r="A971" s="4" t="s">
        <v>36</v>
      </c>
      <c r="B971" s="3">
        <v>1294</v>
      </c>
      <c r="C971" s="3">
        <v>8842</v>
      </c>
      <c r="D971" s="3">
        <v>0.1</v>
      </c>
      <c r="E971" s="4" t="s">
        <v>22</v>
      </c>
      <c r="F971" s="4" t="s">
        <v>23</v>
      </c>
      <c r="G971" s="4" t="s">
        <v>24</v>
      </c>
      <c r="H971" s="4" t="s">
        <v>25</v>
      </c>
      <c r="I971" s="4" t="s">
        <v>156</v>
      </c>
      <c r="J971" s="3">
        <v>2</v>
      </c>
      <c r="K971" s="3">
        <v>25</v>
      </c>
      <c r="L971" s="3">
        <v>22</v>
      </c>
      <c r="M971" s="3">
        <v>1</v>
      </c>
      <c r="N971" s="3">
        <v>2</v>
      </c>
      <c r="O971" s="3">
        <v>0</v>
      </c>
      <c r="P971" s="3">
        <f t="shared" si="0"/>
        <v>0</v>
      </c>
      <c r="Q971" s="3">
        <f t="shared" si="1"/>
        <v>95.6521739130435</v>
      </c>
      <c r="R971" s="3">
        <f t="shared" si="2"/>
        <v>0</v>
      </c>
      <c r="S971" s="11"/>
    </row>
    <row r="972" ht="13.5" customHeight="1" spans="1:19">
      <c r="A972" s="4" t="s">
        <v>36</v>
      </c>
      <c r="B972" s="3">
        <v>1294</v>
      </c>
      <c r="C972" s="3">
        <v>8842</v>
      </c>
      <c r="D972" s="3">
        <v>0.1</v>
      </c>
      <c r="E972" s="4" t="s">
        <v>22</v>
      </c>
      <c r="F972" s="4" t="s">
        <v>23</v>
      </c>
      <c r="G972" s="4" t="s">
        <v>24</v>
      </c>
      <c r="H972" s="4" t="s">
        <v>25</v>
      </c>
      <c r="I972" s="4" t="s">
        <v>156</v>
      </c>
      <c r="J972" s="3">
        <v>3</v>
      </c>
      <c r="K972" s="3">
        <v>25</v>
      </c>
      <c r="L972" s="3">
        <v>24</v>
      </c>
      <c r="M972" s="3">
        <v>1</v>
      </c>
      <c r="N972" s="3">
        <v>0</v>
      </c>
      <c r="O972" s="3">
        <v>0</v>
      </c>
      <c r="P972" s="3">
        <f t="shared" si="0"/>
        <v>0</v>
      </c>
      <c r="Q972" s="3">
        <f t="shared" si="1"/>
        <v>96</v>
      </c>
      <c r="R972" s="3">
        <f t="shared" si="2"/>
        <v>0</v>
      </c>
      <c r="S972" s="11"/>
    </row>
    <row r="973" ht="13.5" customHeight="1" spans="1:19">
      <c r="A973" s="4" t="s">
        <v>36</v>
      </c>
      <c r="B973" s="3">
        <v>1294</v>
      </c>
      <c r="C973" s="3">
        <v>8842</v>
      </c>
      <c r="D973" s="3">
        <v>0.1</v>
      </c>
      <c r="E973" s="4" t="s">
        <v>22</v>
      </c>
      <c r="F973" s="4" t="s">
        <v>23</v>
      </c>
      <c r="G973" s="4" t="s">
        <v>24</v>
      </c>
      <c r="H973" s="4" t="s">
        <v>25</v>
      </c>
      <c r="I973" s="4" t="s">
        <v>156</v>
      </c>
      <c r="J973" s="3">
        <v>4</v>
      </c>
      <c r="K973" s="3">
        <v>25</v>
      </c>
      <c r="L973" s="3">
        <v>24</v>
      </c>
      <c r="M973" s="3">
        <v>1</v>
      </c>
      <c r="N973" s="3">
        <v>0</v>
      </c>
      <c r="O973" s="3">
        <v>0</v>
      </c>
      <c r="P973" s="3">
        <f t="shared" si="0"/>
        <v>0</v>
      </c>
      <c r="Q973" s="3">
        <f t="shared" si="1"/>
        <v>96</v>
      </c>
      <c r="R973" s="3">
        <f t="shared" si="2"/>
        <v>0</v>
      </c>
      <c r="S973" s="11"/>
    </row>
    <row r="974" ht="13.5" customHeight="1" spans="1:21">
      <c r="A974" s="4" t="s">
        <v>21</v>
      </c>
      <c r="B974" s="3">
        <v>1236</v>
      </c>
      <c r="C974" s="3">
        <v>8460</v>
      </c>
      <c r="D974" s="3">
        <v>0.1</v>
      </c>
      <c r="E974" s="4" t="s">
        <v>22</v>
      </c>
      <c r="F974" s="4" t="s">
        <v>119</v>
      </c>
      <c r="G974" s="4" t="s">
        <v>119</v>
      </c>
      <c r="H974" s="4" t="s">
        <v>25</v>
      </c>
      <c r="I974" s="4" t="s">
        <v>156</v>
      </c>
      <c r="J974" s="3">
        <v>1</v>
      </c>
      <c r="K974" s="3">
        <v>25</v>
      </c>
      <c r="L974" s="3">
        <v>25</v>
      </c>
      <c r="M974" s="3">
        <v>0</v>
      </c>
      <c r="N974" s="3">
        <v>0</v>
      </c>
      <c r="O974" s="3">
        <v>0</v>
      </c>
      <c r="P974" s="3">
        <f t="shared" si="0"/>
        <v>0</v>
      </c>
      <c r="Q974" s="3">
        <f t="shared" si="1"/>
        <v>100</v>
      </c>
      <c r="R974" s="3">
        <f t="shared" si="2"/>
        <v>0</v>
      </c>
      <c r="S974" s="11">
        <f>AVERAGE(Q974:Q977)</f>
        <v>100</v>
      </c>
      <c r="T974" s="7">
        <f>AVERAGE(R974:R977)</f>
        <v>0</v>
      </c>
      <c r="U974" s="8">
        <f>(L974+L975+L976+L977+O974+O975+O976+O977)/(K974+K975+K976+K977)*100</f>
        <v>100</v>
      </c>
    </row>
    <row r="975" ht="13.5" customHeight="1" spans="1:19">
      <c r="A975" s="4" t="s">
        <v>21</v>
      </c>
      <c r="B975" s="3">
        <v>1236</v>
      </c>
      <c r="C975" s="3">
        <v>8460</v>
      </c>
      <c r="D975" s="3">
        <v>0.1</v>
      </c>
      <c r="E975" s="4" t="s">
        <v>22</v>
      </c>
      <c r="F975" s="4" t="s">
        <v>119</v>
      </c>
      <c r="G975" s="4" t="s">
        <v>119</v>
      </c>
      <c r="H975" s="4" t="s">
        <v>25</v>
      </c>
      <c r="I975" s="4" t="s">
        <v>156</v>
      </c>
      <c r="J975" s="3">
        <v>2</v>
      </c>
      <c r="K975" s="3">
        <v>25</v>
      </c>
      <c r="L975" s="3">
        <v>25</v>
      </c>
      <c r="M975" s="3">
        <v>0</v>
      </c>
      <c r="N975" s="3">
        <v>0</v>
      </c>
      <c r="O975" s="3">
        <v>0</v>
      </c>
      <c r="P975" s="3">
        <f t="shared" si="0"/>
        <v>0</v>
      </c>
      <c r="Q975" s="3">
        <f t="shared" si="1"/>
        <v>100</v>
      </c>
      <c r="R975" s="3">
        <f t="shared" si="2"/>
        <v>0</v>
      </c>
      <c r="S975" s="11"/>
    </row>
    <row r="976" ht="13.5" customHeight="1" spans="1:19">
      <c r="A976" s="4" t="s">
        <v>21</v>
      </c>
      <c r="B976" s="3">
        <v>1236</v>
      </c>
      <c r="C976" s="3">
        <v>8460</v>
      </c>
      <c r="D976" s="3">
        <v>0.1</v>
      </c>
      <c r="E976" s="4" t="s">
        <v>22</v>
      </c>
      <c r="F976" s="4" t="s">
        <v>119</v>
      </c>
      <c r="G976" s="4" t="s">
        <v>119</v>
      </c>
      <c r="H976" s="4" t="s">
        <v>25</v>
      </c>
      <c r="I976" s="4" t="s">
        <v>156</v>
      </c>
      <c r="J976" s="3">
        <v>3</v>
      </c>
      <c r="K976" s="3">
        <v>25</v>
      </c>
      <c r="L976" s="3">
        <v>25</v>
      </c>
      <c r="M976" s="3">
        <v>0</v>
      </c>
      <c r="N976" s="3">
        <v>0</v>
      </c>
      <c r="O976" s="3">
        <v>0</v>
      </c>
      <c r="P976" s="3">
        <f t="shared" si="0"/>
        <v>0</v>
      </c>
      <c r="Q976" s="3">
        <f t="shared" si="1"/>
        <v>100</v>
      </c>
      <c r="R976" s="3">
        <f t="shared" si="2"/>
        <v>0</v>
      </c>
      <c r="S976" s="11"/>
    </row>
    <row r="977" ht="13.5" customHeight="1" spans="1:19">
      <c r="A977" s="4" t="s">
        <v>21</v>
      </c>
      <c r="B977" s="3">
        <v>1236</v>
      </c>
      <c r="C977" s="3">
        <v>8460</v>
      </c>
      <c r="D977" s="3">
        <v>0.1</v>
      </c>
      <c r="E977" s="4" t="s">
        <v>22</v>
      </c>
      <c r="F977" s="4" t="s">
        <v>119</v>
      </c>
      <c r="G977" s="4" t="s">
        <v>119</v>
      </c>
      <c r="H977" s="4" t="s">
        <v>25</v>
      </c>
      <c r="I977" s="4" t="s">
        <v>156</v>
      </c>
      <c r="J977" s="3">
        <v>4</v>
      </c>
      <c r="K977" s="3">
        <v>25</v>
      </c>
      <c r="L977" s="3">
        <v>25</v>
      </c>
      <c r="M977" s="3">
        <v>0</v>
      </c>
      <c r="N977" s="3">
        <v>0</v>
      </c>
      <c r="O977" s="3">
        <v>0</v>
      </c>
      <c r="P977" s="3">
        <f t="shared" si="0"/>
        <v>0</v>
      </c>
      <c r="Q977" s="3">
        <f t="shared" si="1"/>
        <v>100</v>
      </c>
      <c r="R977" s="3">
        <f t="shared" si="2"/>
        <v>0</v>
      </c>
      <c r="S977" s="11"/>
    </row>
    <row r="978" ht="13.5" customHeight="1" spans="1:21">
      <c r="A978" s="4" t="s">
        <v>42</v>
      </c>
      <c r="B978" s="3">
        <v>1441</v>
      </c>
      <c r="C978" s="3">
        <v>9420</v>
      </c>
      <c r="D978" s="3">
        <v>2</v>
      </c>
      <c r="E978" s="4" t="s">
        <v>22</v>
      </c>
      <c r="F978" s="4" t="s">
        <v>23</v>
      </c>
      <c r="G978" s="4" t="s">
        <v>24</v>
      </c>
      <c r="H978" s="4" t="s">
        <v>25</v>
      </c>
      <c r="I978" s="4" t="s">
        <v>156</v>
      </c>
      <c r="J978" s="3">
        <v>1</v>
      </c>
      <c r="K978" s="3">
        <v>25</v>
      </c>
      <c r="L978" s="3">
        <v>25</v>
      </c>
      <c r="M978" s="3">
        <v>0</v>
      </c>
      <c r="N978" s="3">
        <v>0</v>
      </c>
      <c r="O978" s="3">
        <v>0</v>
      </c>
      <c r="P978" s="3">
        <f t="shared" si="0"/>
        <v>0</v>
      </c>
      <c r="Q978" s="3">
        <f t="shared" si="1"/>
        <v>100</v>
      </c>
      <c r="R978" s="3">
        <f t="shared" si="2"/>
        <v>0</v>
      </c>
      <c r="S978" s="11">
        <f>AVERAGE(Q978:Q981)</f>
        <v>98</v>
      </c>
      <c r="T978" s="7">
        <f>AVERAGE(R978:R981)</f>
        <v>0</v>
      </c>
      <c r="U978" s="8">
        <f>(L978+L979+L980+L981+O978+O979+O980+O981)/(K978+K979+K980+K981)*100</f>
        <v>98</v>
      </c>
    </row>
    <row r="979" ht="13.5" customHeight="1" spans="1:19">
      <c r="A979" s="4" t="s">
        <v>42</v>
      </c>
      <c r="B979" s="3">
        <v>1441</v>
      </c>
      <c r="C979" s="3">
        <v>9420</v>
      </c>
      <c r="D979" s="3">
        <v>2</v>
      </c>
      <c r="E979" s="4" t="s">
        <v>22</v>
      </c>
      <c r="F979" s="4" t="s">
        <v>23</v>
      </c>
      <c r="G979" s="4" t="s">
        <v>24</v>
      </c>
      <c r="H979" s="4" t="s">
        <v>25</v>
      </c>
      <c r="I979" s="4" t="s">
        <v>156</v>
      </c>
      <c r="J979" s="3">
        <v>2</v>
      </c>
      <c r="K979" s="3">
        <v>25</v>
      </c>
      <c r="L979" s="3">
        <v>25</v>
      </c>
      <c r="M979" s="3">
        <v>0</v>
      </c>
      <c r="N979" s="3">
        <v>0</v>
      </c>
      <c r="O979" s="3">
        <v>0</v>
      </c>
      <c r="P979" s="3">
        <f t="shared" si="0"/>
        <v>0</v>
      </c>
      <c r="Q979" s="3">
        <f t="shared" si="1"/>
        <v>100</v>
      </c>
      <c r="R979" s="3">
        <f t="shared" si="2"/>
        <v>0</v>
      </c>
      <c r="S979" s="11"/>
    </row>
    <row r="980" ht="13.5" customHeight="1" spans="1:19">
      <c r="A980" s="4" t="s">
        <v>42</v>
      </c>
      <c r="B980" s="3">
        <v>1441</v>
      </c>
      <c r="C980" s="3">
        <v>9420</v>
      </c>
      <c r="D980" s="3">
        <v>2</v>
      </c>
      <c r="E980" s="4" t="s">
        <v>22</v>
      </c>
      <c r="F980" s="4" t="s">
        <v>23</v>
      </c>
      <c r="G980" s="4" t="s">
        <v>24</v>
      </c>
      <c r="H980" s="4" t="s">
        <v>25</v>
      </c>
      <c r="I980" s="4" t="s">
        <v>156</v>
      </c>
      <c r="J980" s="3">
        <v>3</v>
      </c>
      <c r="K980" s="3">
        <v>25</v>
      </c>
      <c r="L980" s="3">
        <v>24</v>
      </c>
      <c r="M980" s="3">
        <v>1</v>
      </c>
      <c r="N980" s="3">
        <v>0</v>
      </c>
      <c r="O980" s="3">
        <v>0</v>
      </c>
      <c r="P980" s="3">
        <f t="shared" si="0"/>
        <v>0</v>
      </c>
      <c r="Q980" s="3">
        <f t="shared" si="1"/>
        <v>96</v>
      </c>
      <c r="R980" s="3">
        <f t="shared" si="2"/>
        <v>0</v>
      </c>
      <c r="S980" s="11"/>
    </row>
    <row r="981" ht="13.5" customHeight="1" spans="1:19">
      <c r="A981" s="4" t="s">
        <v>42</v>
      </c>
      <c r="B981" s="3">
        <v>1441</v>
      </c>
      <c r="C981" s="3">
        <v>9420</v>
      </c>
      <c r="D981" s="3">
        <v>2</v>
      </c>
      <c r="E981" s="4" t="s">
        <v>22</v>
      </c>
      <c r="F981" s="4" t="s">
        <v>23</v>
      </c>
      <c r="G981" s="4" t="s">
        <v>24</v>
      </c>
      <c r="H981" s="4" t="s">
        <v>25</v>
      </c>
      <c r="I981" s="4" t="s">
        <v>156</v>
      </c>
      <c r="J981" s="3">
        <v>4</v>
      </c>
      <c r="K981" s="3">
        <v>25</v>
      </c>
      <c r="L981" s="3">
        <v>24</v>
      </c>
      <c r="M981" s="3">
        <v>1</v>
      </c>
      <c r="N981" s="3">
        <v>0</v>
      </c>
      <c r="O981" s="3">
        <v>0</v>
      </c>
      <c r="P981" s="3">
        <f t="shared" si="0"/>
        <v>0</v>
      </c>
      <c r="Q981" s="3">
        <f t="shared" si="1"/>
        <v>96</v>
      </c>
      <c r="R981" s="3">
        <f t="shared" si="2"/>
        <v>0</v>
      </c>
      <c r="S981" s="11"/>
    </row>
    <row r="982" ht="13.5" customHeight="1" spans="1:21">
      <c r="A982" s="4" t="s">
        <v>77</v>
      </c>
      <c r="B982" s="3">
        <v>1746</v>
      </c>
      <c r="C982" s="3">
        <v>10331</v>
      </c>
      <c r="D982" s="3">
        <v>4</v>
      </c>
      <c r="E982" s="4" t="s">
        <v>22</v>
      </c>
      <c r="F982" s="4" t="s">
        <v>23</v>
      </c>
      <c r="G982" s="4" t="s">
        <v>24</v>
      </c>
      <c r="H982" s="4" t="s">
        <v>25</v>
      </c>
      <c r="I982" s="4" t="s">
        <v>156</v>
      </c>
      <c r="J982" s="3">
        <v>1</v>
      </c>
      <c r="K982" s="3">
        <v>25</v>
      </c>
      <c r="L982" s="3">
        <v>24</v>
      </c>
      <c r="M982" s="3">
        <v>1</v>
      </c>
      <c r="N982" s="3">
        <v>0</v>
      </c>
      <c r="O982" s="3">
        <v>0</v>
      </c>
      <c r="P982" s="3">
        <f t="shared" si="0"/>
        <v>0</v>
      </c>
      <c r="Q982" s="3">
        <f t="shared" si="1"/>
        <v>96</v>
      </c>
      <c r="R982" s="3">
        <f t="shared" si="2"/>
        <v>0</v>
      </c>
      <c r="S982" s="11">
        <f>AVERAGE(Q982:Q985)</f>
        <v>98</v>
      </c>
      <c r="T982" s="7">
        <f>AVERAGE(R982:R985)</f>
        <v>0</v>
      </c>
      <c r="U982" s="8">
        <f>(L982+L983+L984+L985+O982+O983+O984+O985)/(K982+K983+K984+K985)*100</f>
        <v>98</v>
      </c>
    </row>
    <row r="983" ht="13.5" customHeight="1" spans="1:19">
      <c r="A983" s="4" t="s">
        <v>77</v>
      </c>
      <c r="B983" s="3">
        <v>1746</v>
      </c>
      <c r="C983" s="3">
        <v>10331</v>
      </c>
      <c r="D983" s="3">
        <v>4</v>
      </c>
      <c r="E983" s="4" t="s">
        <v>22</v>
      </c>
      <c r="F983" s="4" t="s">
        <v>23</v>
      </c>
      <c r="G983" s="4" t="s">
        <v>24</v>
      </c>
      <c r="H983" s="4" t="s">
        <v>25</v>
      </c>
      <c r="I983" s="4" t="s">
        <v>156</v>
      </c>
      <c r="J983" s="3">
        <v>2</v>
      </c>
      <c r="K983" s="3">
        <v>25</v>
      </c>
      <c r="L983" s="3">
        <v>25</v>
      </c>
      <c r="M983" s="3">
        <v>0</v>
      </c>
      <c r="N983" s="3">
        <v>0</v>
      </c>
      <c r="O983" s="3">
        <v>0</v>
      </c>
      <c r="P983" s="3">
        <f t="shared" si="0"/>
        <v>0</v>
      </c>
      <c r="Q983" s="3">
        <f t="shared" si="1"/>
        <v>100</v>
      </c>
      <c r="R983" s="3">
        <f t="shared" si="2"/>
        <v>0</v>
      </c>
      <c r="S983" s="11"/>
    </row>
    <row r="984" ht="13.5" customHeight="1" spans="1:19">
      <c r="A984" s="4" t="s">
        <v>77</v>
      </c>
      <c r="B984" s="3">
        <v>1746</v>
      </c>
      <c r="C984" s="3">
        <v>10331</v>
      </c>
      <c r="D984" s="3">
        <v>4</v>
      </c>
      <c r="E984" s="4" t="s">
        <v>22</v>
      </c>
      <c r="F984" s="4" t="s">
        <v>23</v>
      </c>
      <c r="G984" s="4" t="s">
        <v>24</v>
      </c>
      <c r="H984" s="4" t="s">
        <v>25</v>
      </c>
      <c r="I984" s="4" t="s">
        <v>156</v>
      </c>
      <c r="J984" s="3">
        <v>3</v>
      </c>
      <c r="K984" s="3">
        <v>25</v>
      </c>
      <c r="L984" s="3">
        <v>25</v>
      </c>
      <c r="M984" s="3">
        <v>0</v>
      </c>
      <c r="N984" s="3">
        <v>0</v>
      </c>
      <c r="O984" s="3">
        <v>0</v>
      </c>
      <c r="P984" s="3">
        <f t="shared" si="0"/>
        <v>0</v>
      </c>
      <c r="Q984" s="3">
        <f t="shared" si="1"/>
        <v>100</v>
      </c>
      <c r="R984" s="3">
        <f t="shared" si="2"/>
        <v>0</v>
      </c>
      <c r="S984" s="11"/>
    </row>
    <row r="985" ht="13.5" customHeight="1" spans="1:19">
      <c r="A985" s="4" t="s">
        <v>77</v>
      </c>
      <c r="B985" s="3">
        <v>1746</v>
      </c>
      <c r="C985" s="3">
        <v>10331</v>
      </c>
      <c r="D985" s="3">
        <v>4</v>
      </c>
      <c r="E985" s="4" t="s">
        <v>22</v>
      </c>
      <c r="F985" s="4" t="s">
        <v>23</v>
      </c>
      <c r="G985" s="4" t="s">
        <v>24</v>
      </c>
      <c r="H985" s="4" t="s">
        <v>25</v>
      </c>
      <c r="I985" s="4" t="s">
        <v>156</v>
      </c>
      <c r="J985" s="3">
        <v>4</v>
      </c>
      <c r="K985" s="3">
        <v>25</v>
      </c>
      <c r="L985" s="3">
        <v>24</v>
      </c>
      <c r="M985" s="3">
        <v>1</v>
      </c>
      <c r="N985" s="3">
        <v>0</v>
      </c>
      <c r="O985" s="3">
        <v>0</v>
      </c>
      <c r="P985" s="3">
        <f t="shared" si="0"/>
        <v>0</v>
      </c>
      <c r="Q985" s="3">
        <f t="shared" si="1"/>
        <v>96</v>
      </c>
      <c r="R985" s="3">
        <f t="shared" si="2"/>
        <v>0</v>
      </c>
      <c r="S985" s="11"/>
    </row>
    <row r="986" ht="13.5" customHeight="1" spans="1:21">
      <c r="A986" s="4" t="s">
        <v>32</v>
      </c>
      <c r="B986" s="3">
        <v>1342</v>
      </c>
      <c r="C986" s="3">
        <v>9074</v>
      </c>
      <c r="D986" s="3">
        <v>3</v>
      </c>
      <c r="E986" s="4" t="s">
        <v>22</v>
      </c>
      <c r="F986" s="4" t="s">
        <v>23</v>
      </c>
      <c r="G986" s="4" t="s">
        <v>24</v>
      </c>
      <c r="H986" s="4" t="s">
        <v>25</v>
      </c>
      <c r="I986" s="4" t="s">
        <v>156</v>
      </c>
      <c r="J986" s="3">
        <v>1</v>
      </c>
      <c r="K986" s="3">
        <v>25</v>
      </c>
      <c r="L986" s="3">
        <v>24</v>
      </c>
      <c r="M986" s="3">
        <v>0</v>
      </c>
      <c r="N986" s="3">
        <v>0</v>
      </c>
      <c r="O986" s="3">
        <v>1</v>
      </c>
      <c r="P986" s="3">
        <f t="shared" si="0"/>
        <v>0</v>
      </c>
      <c r="Q986" s="3">
        <f t="shared" si="1"/>
        <v>96</v>
      </c>
      <c r="R986" s="3">
        <f t="shared" si="2"/>
        <v>4</v>
      </c>
      <c r="S986" s="11">
        <f>AVERAGE(Q986:Q989)</f>
        <v>99</v>
      </c>
      <c r="T986" s="7">
        <f>AVERAGE(R986:R989)</f>
        <v>1</v>
      </c>
      <c r="U986" s="8">
        <f>(L986+L987+L988+L989+O986+O987+O988+O989)/(K986+K987+K988+K989)*100</f>
        <v>99</v>
      </c>
    </row>
    <row r="987" ht="13.5" customHeight="1" spans="1:19">
      <c r="A987" s="4" t="s">
        <v>32</v>
      </c>
      <c r="B987" s="3">
        <v>1342</v>
      </c>
      <c r="C987" s="3">
        <v>9074</v>
      </c>
      <c r="D987" s="3">
        <v>3</v>
      </c>
      <c r="E987" s="4" t="s">
        <v>22</v>
      </c>
      <c r="F987" s="4" t="s">
        <v>23</v>
      </c>
      <c r="G987" s="4" t="s">
        <v>24</v>
      </c>
      <c r="H987" s="4" t="s">
        <v>25</v>
      </c>
      <c r="I987" s="4" t="s">
        <v>156</v>
      </c>
      <c r="J987" s="3">
        <v>2</v>
      </c>
      <c r="K987" s="3">
        <v>25</v>
      </c>
      <c r="L987" s="3">
        <v>24</v>
      </c>
      <c r="M987" s="3">
        <v>0</v>
      </c>
      <c r="N987" s="3">
        <v>1</v>
      </c>
      <c r="O987" s="3">
        <v>0</v>
      </c>
      <c r="P987" s="3">
        <f t="shared" si="0"/>
        <v>0</v>
      </c>
      <c r="Q987" s="3">
        <f t="shared" si="1"/>
        <v>100</v>
      </c>
      <c r="R987" s="3">
        <f t="shared" si="2"/>
        <v>0</v>
      </c>
      <c r="S987" s="11"/>
    </row>
    <row r="988" ht="13.5" customHeight="1" spans="1:19">
      <c r="A988" s="4" t="s">
        <v>32</v>
      </c>
      <c r="B988" s="3">
        <v>1342</v>
      </c>
      <c r="C988" s="3">
        <v>9074</v>
      </c>
      <c r="D988" s="3">
        <v>3</v>
      </c>
      <c r="E988" s="4" t="s">
        <v>22</v>
      </c>
      <c r="F988" s="4" t="s">
        <v>23</v>
      </c>
      <c r="G988" s="4" t="s">
        <v>24</v>
      </c>
      <c r="H988" s="4" t="s">
        <v>25</v>
      </c>
      <c r="I988" s="4" t="s">
        <v>156</v>
      </c>
      <c r="J988" s="3">
        <v>3</v>
      </c>
      <c r="K988" s="3">
        <v>25</v>
      </c>
      <c r="L988" s="3">
        <v>25</v>
      </c>
      <c r="M988" s="3">
        <v>0</v>
      </c>
      <c r="N988" s="3">
        <v>0</v>
      </c>
      <c r="O988" s="3">
        <v>0</v>
      </c>
      <c r="P988" s="3">
        <f t="shared" si="0"/>
        <v>0</v>
      </c>
      <c r="Q988" s="3">
        <f t="shared" si="1"/>
        <v>100</v>
      </c>
      <c r="R988" s="3">
        <f t="shared" si="2"/>
        <v>0</v>
      </c>
      <c r="S988" s="11"/>
    </row>
    <row r="989" ht="13.5" customHeight="1" spans="1:19">
      <c r="A989" s="4" t="s">
        <v>32</v>
      </c>
      <c r="B989" s="3">
        <v>1342</v>
      </c>
      <c r="C989" s="3">
        <v>9074</v>
      </c>
      <c r="D989" s="3">
        <v>3</v>
      </c>
      <c r="E989" s="4" t="s">
        <v>22</v>
      </c>
      <c r="F989" s="4" t="s">
        <v>23</v>
      </c>
      <c r="G989" s="4" t="s">
        <v>24</v>
      </c>
      <c r="H989" s="4" t="s">
        <v>25</v>
      </c>
      <c r="I989" s="4" t="s">
        <v>156</v>
      </c>
      <c r="J989" s="3">
        <v>4</v>
      </c>
      <c r="K989" s="3">
        <v>25</v>
      </c>
      <c r="L989" s="3">
        <v>25</v>
      </c>
      <c r="M989" s="3">
        <v>0</v>
      </c>
      <c r="N989" s="3">
        <v>0</v>
      </c>
      <c r="O989" s="3">
        <v>0</v>
      </c>
      <c r="P989" s="3">
        <f t="shared" si="0"/>
        <v>0</v>
      </c>
      <c r="Q989" s="3">
        <f t="shared" si="1"/>
        <v>100</v>
      </c>
      <c r="R989" s="3">
        <f t="shared" si="2"/>
        <v>0</v>
      </c>
      <c r="S989" s="11"/>
    </row>
    <row r="990" ht="13.5" customHeight="1" spans="1:21">
      <c r="A990" s="4" t="s">
        <v>93</v>
      </c>
      <c r="B990" s="3">
        <v>1661</v>
      </c>
      <c r="C990" s="3">
        <v>10216</v>
      </c>
      <c r="D990" s="3">
        <v>5</v>
      </c>
      <c r="E990" s="4" t="s">
        <v>22</v>
      </c>
      <c r="F990" s="4" t="s">
        <v>23</v>
      </c>
      <c r="G990" s="4" t="s">
        <v>24</v>
      </c>
      <c r="H990" s="4" t="s">
        <v>25</v>
      </c>
      <c r="I990" s="4" t="s">
        <v>156</v>
      </c>
      <c r="J990" s="3">
        <v>1</v>
      </c>
      <c r="K990" s="3">
        <v>24</v>
      </c>
      <c r="L990" s="3">
        <v>23</v>
      </c>
      <c r="M990" s="3">
        <v>0</v>
      </c>
      <c r="N990" s="3">
        <v>1</v>
      </c>
      <c r="O990" s="3">
        <v>0</v>
      </c>
      <c r="P990" s="3">
        <f t="shared" si="0"/>
        <v>0</v>
      </c>
      <c r="Q990" s="3">
        <f t="shared" si="1"/>
        <v>100</v>
      </c>
      <c r="R990" s="3">
        <f t="shared" si="2"/>
        <v>0</v>
      </c>
      <c r="S990" s="11">
        <f>AVERAGE(Q990:Q993)</f>
        <v>98.8095238095238</v>
      </c>
      <c r="T990" s="7">
        <f>AVERAGE(R990:R993)</f>
        <v>0</v>
      </c>
      <c r="U990" s="8">
        <f>(L990+L991+L992+L993+O990+O991+O992+O993)/(K990+K991+K992+K993)*100</f>
        <v>96.8421052631579</v>
      </c>
    </row>
    <row r="991" ht="13.5" customHeight="1" spans="1:19">
      <c r="A991" s="4" t="s">
        <v>93</v>
      </c>
      <c r="B991" s="3">
        <v>1661</v>
      </c>
      <c r="C991" s="3">
        <v>10216</v>
      </c>
      <c r="D991" s="3">
        <v>5</v>
      </c>
      <c r="E991" s="4" t="s">
        <v>22</v>
      </c>
      <c r="F991" s="4" t="s">
        <v>23</v>
      </c>
      <c r="G991" s="4" t="s">
        <v>24</v>
      </c>
      <c r="H991" s="4" t="s">
        <v>25</v>
      </c>
      <c r="I991" s="4" t="s">
        <v>156</v>
      </c>
      <c r="J991" s="3">
        <v>2</v>
      </c>
      <c r="K991" s="3">
        <v>25</v>
      </c>
      <c r="L991" s="3">
        <v>25</v>
      </c>
      <c r="M991" s="3">
        <v>0</v>
      </c>
      <c r="N991" s="3">
        <v>0</v>
      </c>
      <c r="O991" s="3">
        <v>0</v>
      </c>
      <c r="P991" s="3">
        <f t="shared" si="0"/>
        <v>0</v>
      </c>
      <c r="Q991" s="3">
        <f t="shared" si="1"/>
        <v>100</v>
      </c>
      <c r="R991" s="3">
        <f t="shared" si="2"/>
        <v>0</v>
      </c>
      <c r="S991" s="11"/>
    </row>
    <row r="992" ht="13.5" customHeight="1" spans="1:19">
      <c r="A992" s="4" t="s">
        <v>93</v>
      </c>
      <c r="B992" s="3">
        <v>1661</v>
      </c>
      <c r="C992" s="3">
        <v>10216</v>
      </c>
      <c r="D992" s="3">
        <v>5</v>
      </c>
      <c r="E992" s="4" t="s">
        <v>22</v>
      </c>
      <c r="F992" s="4" t="s">
        <v>23</v>
      </c>
      <c r="G992" s="4" t="s">
        <v>24</v>
      </c>
      <c r="H992" s="4" t="s">
        <v>25</v>
      </c>
      <c r="I992" s="4" t="s">
        <v>156</v>
      </c>
      <c r="J992" s="3">
        <v>3</v>
      </c>
      <c r="K992" s="3">
        <v>25</v>
      </c>
      <c r="L992" s="3">
        <v>24</v>
      </c>
      <c r="M992" s="3">
        <v>0</v>
      </c>
      <c r="N992" s="3">
        <v>1</v>
      </c>
      <c r="O992" s="3">
        <v>0</v>
      </c>
      <c r="P992" s="3">
        <f t="shared" si="0"/>
        <v>0</v>
      </c>
      <c r="Q992" s="3">
        <f t="shared" si="1"/>
        <v>100</v>
      </c>
      <c r="R992" s="3">
        <f t="shared" si="2"/>
        <v>0</v>
      </c>
      <c r="S992" s="11"/>
    </row>
    <row r="993" ht="13.5" customHeight="1" spans="1:19">
      <c r="A993" s="4" t="s">
        <v>93</v>
      </c>
      <c r="B993" s="3">
        <v>1661</v>
      </c>
      <c r="C993" s="3">
        <v>10216</v>
      </c>
      <c r="D993" s="3">
        <v>5</v>
      </c>
      <c r="E993" s="4" t="s">
        <v>22</v>
      </c>
      <c r="F993" s="4" t="s">
        <v>23</v>
      </c>
      <c r="G993" s="4" t="s">
        <v>24</v>
      </c>
      <c r="H993" s="4" t="s">
        <v>25</v>
      </c>
      <c r="I993" s="4" t="s">
        <v>156</v>
      </c>
      <c r="J993" s="3">
        <v>4</v>
      </c>
      <c r="K993" s="3">
        <v>21</v>
      </c>
      <c r="L993" s="3">
        <v>20</v>
      </c>
      <c r="M993" s="3">
        <v>1</v>
      </c>
      <c r="N993" s="3">
        <v>0</v>
      </c>
      <c r="O993" s="3">
        <v>0</v>
      </c>
      <c r="P993" s="3">
        <f t="shared" si="0"/>
        <v>0</v>
      </c>
      <c r="Q993" s="3">
        <f t="shared" si="1"/>
        <v>95.2380952380952</v>
      </c>
      <c r="R993" s="3">
        <f t="shared" si="2"/>
        <v>0</v>
      </c>
      <c r="S993" s="11"/>
    </row>
    <row r="994" ht="13.5" customHeight="1" spans="1:21">
      <c r="A994" s="4" t="s">
        <v>21</v>
      </c>
      <c r="B994" s="3">
        <v>1236</v>
      </c>
      <c r="C994" s="3">
        <v>8460</v>
      </c>
      <c r="D994" s="3">
        <v>1</v>
      </c>
      <c r="E994" s="4" t="s">
        <v>22</v>
      </c>
      <c r="F994" s="4" t="s">
        <v>23</v>
      </c>
      <c r="G994" s="4" t="s">
        <v>24</v>
      </c>
      <c r="H994" s="4" t="s">
        <v>25</v>
      </c>
      <c r="I994" s="4" t="s">
        <v>156</v>
      </c>
      <c r="J994" s="3">
        <v>1</v>
      </c>
      <c r="K994" s="3">
        <v>25</v>
      </c>
      <c r="L994" s="3">
        <v>24</v>
      </c>
      <c r="M994" s="3">
        <v>1</v>
      </c>
      <c r="N994" s="3">
        <v>0</v>
      </c>
      <c r="O994" s="3">
        <v>0</v>
      </c>
      <c r="P994" s="3">
        <f t="shared" si="0"/>
        <v>0</v>
      </c>
      <c r="Q994" s="3">
        <f t="shared" si="1"/>
        <v>96</v>
      </c>
      <c r="R994" s="3">
        <f t="shared" si="2"/>
        <v>0</v>
      </c>
      <c r="S994" s="11">
        <f>AVERAGE(Q994:Q997)</f>
        <v>95.9166666666667</v>
      </c>
      <c r="T994" s="7">
        <f>AVERAGE(R994:R997)</f>
        <v>2.08333333333333</v>
      </c>
      <c r="U994" s="8">
        <f>(L994+L995+L996+L997+O994+O995+O996+O997)/(K994+K995+K996+K997)*100</f>
        <v>96</v>
      </c>
    </row>
    <row r="995" ht="13.5" customHeight="1" spans="1:19">
      <c r="A995" s="4" t="s">
        <v>21</v>
      </c>
      <c r="B995" s="3">
        <v>1236</v>
      </c>
      <c r="C995" s="3">
        <v>8460</v>
      </c>
      <c r="D995" s="3">
        <v>1</v>
      </c>
      <c r="E995" s="4" t="s">
        <v>22</v>
      </c>
      <c r="F995" s="4" t="s">
        <v>23</v>
      </c>
      <c r="G995" s="4" t="s">
        <v>24</v>
      </c>
      <c r="H995" s="4" t="s">
        <v>25</v>
      </c>
      <c r="I995" s="4" t="s">
        <v>156</v>
      </c>
      <c r="J995" s="3">
        <v>2</v>
      </c>
      <c r="K995" s="3">
        <v>25</v>
      </c>
      <c r="L995" s="3">
        <v>24</v>
      </c>
      <c r="M995" s="3">
        <v>0</v>
      </c>
      <c r="N995" s="3">
        <v>1</v>
      </c>
      <c r="O995" s="3">
        <v>0</v>
      </c>
      <c r="P995" s="3">
        <f t="shared" si="0"/>
        <v>0</v>
      </c>
      <c r="Q995" s="3">
        <f t="shared" si="1"/>
        <v>100</v>
      </c>
      <c r="R995" s="3">
        <f t="shared" si="2"/>
        <v>0</v>
      </c>
      <c r="S995" s="11"/>
    </row>
    <row r="996" ht="13.5" customHeight="1" spans="1:19">
      <c r="A996" s="4" t="s">
        <v>21</v>
      </c>
      <c r="B996" s="3">
        <v>1236</v>
      </c>
      <c r="C996" s="3">
        <v>8460</v>
      </c>
      <c r="D996" s="3">
        <v>1</v>
      </c>
      <c r="E996" s="4" t="s">
        <v>22</v>
      </c>
      <c r="F996" s="4" t="s">
        <v>23</v>
      </c>
      <c r="G996" s="4" t="s">
        <v>24</v>
      </c>
      <c r="H996" s="4" t="s">
        <v>25</v>
      </c>
      <c r="I996" s="4" t="s">
        <v>156</v>
      </c>
      <c r="J996" s="3">
        <v>3</v>
      </c>
      <c r="K996" s="3">
        <v>25</v>
      </c>
      <c r="L996" s="3">
        <v>22</v>
      </c>
      <c r="M996" s="3">
        <v>0</v>
      </c>
      <c r="N996" s="3">
        <v>1</v>
      </c>
      <c r="O996" s="3">
        <v>2</v>
      </c>
      <c r="P996" s="3">
        <f t="shared" si="0"/>
        <v>0</v>
      </c>
      <c r="Q996" s="3">
        <f t="shared" si="1"/>
        <v>91.6666666666667</v>
      </c>
      <c r="R996" s="3">
        <f t="shared" si="2"/>
        <v>8.33333333333333</v>
      </c>
      <c r="S996" s="11"/>
    </row>
    <row r="997" ht="13.5" customHeight="1" spans="1:19">
      <c r="A997" s="4" t="s">
        <v>21</v>
      </c>
      <c r="B997" s="3">
        <v>1236</v>
      </c>
      <c r="C997" s="3">
        <v>8460</v>
      </c>
      <c r="D997" s="3">
        <v>1</v>
      </c>
      <c r="E997" s="4" t="s">
        <v>22</v>
      </c>
      <c r="F997" s="4" t="s">
        <v>23</v>
      </c>
      <c r="G997" s="4" t="s">
        <v>24</v>
      </c>
      <c r="H997" s="4" t="s">
        <v>25</v>
      </c>
      <c r="I997" s="4" t="s">
        <v>156</v>
      </c>
      <c r="J997" s="3">
        <v>4</v>
      </c>
      <c r="K997" s="3">
        <v>25</v>
      </c>
      <c r="L997" s="3">
        <v>24</v>
      </c>
      <c r="M997" s="3">
        <v>1</v>
      </c>
      <c r="N997" s="3">
        <v>0</v>
      </c>
      <c r="O997" s="3">
        <v>0</v>
      </c>
      <c r="P997" s="3">
        <f t="shared" si="0"/>
        <v>0</v>
      </c>
      <c r="Q997" s="3">
        <f t="shared" si="1"/>
        <v>96</v>
      </c>
      <c r="R997" s="3">
        <f t="shared" si="2"/>
        <v>0</v>
      </c>
      <c r="S997" s="11"/>
    </row>
    <row r="998" ht="13.5" customHeight="1" spans="1:21">
      <c r="A998" s="4" t="s">
        <v>46</v>
      </c>
      <c r="B998" s="3">
        <v>1270</v>
      </c>
      <c r="C998" s="3">
        <v>8757</v>
      </c>
      <c r="D998" s="3">
        <v>0.1</v>
      </c>
      <c r="E998" s="4" t="s">
        <v>48</v>
      </c>
      <c r="F998" s="4" t="s">
        <v>49</v>
      </c>
      <c r="G998" s="4" t="s">
        <v>50</v>
      </c>
      <c r="H998" s="4" t="s">
        <v>40</v>
      </c>
      <c r="I998" s="4" t="s">
        <v>156</v>
      </c>
      <c r="J998" s="3">
        <v>1</v>
      </c>
      <c r="K998" s="3">
        <v>25</v>
      </c>
      <c r="L998" s="3">
        <v>23</v>
      </c>
      <c r="M998" s="3">
        <v>1</v>
      </c>
      <c r="N998" s="3">
        <v>1</v>
      </c>
      <c r="O998" s="3">
        <v>0</v>
      </c>
      <c r="P998" s="3">
        <f t="shared" si="0"/>
        <v>0</v>
      </c>
      <c r="Q998" s="3">
        <f t="shared" si="1"/>
        <v>95.8333333333333</v>
      </c>
      <c r="R998" s="3">
        <f t="shared" si="2"/>
        <v>0</v>
      </c>
      <c r="S998" s="11">
        <f>AVERAGE(Q998:Q1001)</f>
        <v>91.9583333333333</v>
      </c>
      <c r="T998" s="7">
        <f>AVERAGE(R998:R1001)</f>
        <v>4</v>
      </c>
      <c r="U998" s="8">
        <f>(L998+L999+L1000+L1001+O998+O999+O1000+O1001)/(K998+K999+K1000+K1001)*100</f>
        <v>94</v>
      </c>
    </row>
    <row r="999" ht="13.5" customHeight="1" spans="1:19">
      <c r="A999" s="4" t="s">
        <v>46</v>
      </c>
      <c r="B999" s="3">
        <v>1270</v>
      </c>
      <c r="C999" s="3">
        <v>8757</v>
      </c>
      <c r="D999" s="3">
        <v>0.1</v>
      </c>
      <c r="E999" s="4" t="s">
        <v>48</v>
      </c>
      <c r="F999" s="4" t="s">
        <v>49</v>
      </c>
      <c r="G999" s="4" t="s">
        <v>50</v>
      </c>
      <c r="H999" s="4" t="s">
        <v>40</v>
      </c>
      <c r="I999" s="4" t="s">
        <v>156</v>
      </c>
      <c r="J999" s="3">
        <v>2</v>
      </c>
      <c r="K999" s="3">
        <v>25</v>
      </c>
      <c r="L999" s="3">
        <v>23</v>
      </c>
      <c r="M999" s="3">
        <v>1</v>
      </c>
      <c r="N999" s="3">
        <v>0</v>
      </c>
      <c r="O999" s="3">
        <v>1</v>
      </c>
      <c r="P999" s="3">
        <f t="shared" si="0"/>
        <v>0</v>
      </c>
      <c r="Q999" s="3">
        <f t="shared" si="1"/>
        <v>92</v>
      </c>
      <c r="R999" s="3">
        <f t="shared" si="2"/>
        <v>4</v>
      </c>
      <c r="S999" s="11"/>
    </row>
    <row r="1000" ht="13.5" customHeight="1" spans="1:19">
      <c r="A1000" s="4" t="s">
        <v>46</v>
      </c>
      <c r="B1000" s="3">
        <v>1270</v>
      </c>
      <c r="C1000" s="3">
        <v>8757</v>
      </c>
      <c r="D1000" s="3">
        <v>0.1</v>
      </c>
      <c r="E1000" s="4" t="s">
        <v>48</v>
      </c>
      <c r="F1000" s="4" t="s">
        <v>49</v>
      </c>
      <c r="G1000" s="4" t="s">
        <v>50</v>
      </c>
      <c r="H1000" s="4" t="s">
        <v>40</v>
      </c>
      <c r="I1000" s="4" t="s">
        <v>156</v>
      </c>
      <c r="J1000" s="3">
        <v>3</v>
      </c>
      <c r="K1000" s="3">
        <v>25</v>
      </c>
      <c r="L1000" s="3">
        <v>24</v>
      </c>
      <c r="M1000" s="3">
        <v>0</v>
      </c>
      <c r="N1000" s="3">
        <v>1</v>
      </c>
      <c r="O1000" s="3">
        <v>0</v>
      </c>
      <c r="P1000" s="3">
        <f t="shared" si="0"/>
        <v>0</v>
      </c>
      <c r="Q1000" s="3">
        <f t="shared" si="1"/>
        <v>100</v>
      </c>
      <c r="R1000" s="3">
        <f t="shared" si="2"/>
        <v>0</v>
      </c>
      <c r="S1000" s="11"/>
    </row>
    <row r="1001" ht="13.5" customHeight="1" spans="1:19">
      <c r="A1001" s="4" t="s">
        <v>46</v>
      </c>
      <c r="B1001" s="3">
        <v>1270</v>
      </c>
      <c r="C1001" s="3">
        <v>8757</v>
      </c>
      <c r="D1001" s="3">
        <v>0.1</v>
      </c>
      <c r="E1001" s="4" t="s">
        <v>48</v>
      </c>
      <c r="F1001" s="4" t="s">
        <v>49</v>
      </c>
      <c r="G1001" s="4" t="s">
        <v>50</v>
      </c>
      <c r="H1001" s="4" t="s">
        <v>40</v>
      </c>
      <c r="I1001" s="4" t="s">
        <v>156</v>
      </c>
      <c r="J1001" s="3">
        <v>4</v>
      </c>
      <c r="K1001" s="3">
        <v>25</v>
      </c>
      <c r="L1001" s="3">
        <v>20</v>
      </c>
      <c r="M1001" s="3">
        <v>2</v>
      </c>
      <c r="N1001" s="3">
        <v>0</v>
      </c>
      <c r="O1001" s="3">
        <v>3</v>
      </c>
      <c r="P1001" s="3">
        <f t="shared" si="0"/>
        <v>0</v>
      </c>
      <c r="Q1001" s="3">
        <f t="shared" si="1"/>
        <v>80</v>
      </c>
      <c r="R1001" s="3">
        <f t="shared" si="2"/>
        <v>12</v>
      </c>
      <c r="S1001" s="11"/>
    </row>
    <row r="1002" ht="13.5" customHeight="1" spans="1:21">
      <c r="A1002" s="4" t="s">
        <v>77</v>
      </c>
      <c r="B1002" s="3">
        <v>1746</v>
      </c>
      <c r="C1002" s="3">
        <v>10331</v>
      </c>
      <c r="D1002" s="3">
        <v>0.1</v>
      </c>
      <c r="E1002" s="4" t="s">
        <v>22</v>
      </c>
      <c r="F1002" s="4" t="s">
        <v>137</v>
      </c>
      <c r="G1002" s="4" t="s">
        <v>137</v>
      </c>
      <c r="H1002" s="4" t="s">
        <v>40</v>
      </c>
      <c r="I1002" s="4" t="s">
        <v>156</v>
      </c>
      <c r="J1002" s="3">
        <v>1</v>
      </c>
      <c r="K1002" s="3">
        <v>25</v>
      </c>
      <c r="L1002" s="3">
        <v>19</v>
      </c>
      <c r="M1002" s="3">
        <v>0</v>
      </c>
      <c r="N1002" s="3">
        <v>0</v>
      </c>
      <c r="O1002" s="3">
        <v>6</v>
      </c>
      <c r="P1002" s="3">
        <f t="shared" si="0"/>
        <v>0</v>
      </c>
      <c r="Q1002" s="3">
        <f t="shared" si="1"/>
        <v>76</v>
      </c>
      <c r="R1002" s="3">
        <f t="shared" si="2"/>
        <v>24</v>
      </c>
      <c r="S1002" s="11">
        <f>AVERAGE(Q1002:Q1005)</f>
        <v>56</v>
      </c>
      <c r="T1002" s="7">
        <f>AVERAGE(R1002:R1005)</f>
        <v>42</v>
      </c>
      <c r="U1002" s="8">
        <f>(L1002+L1003+L1004+L1005+O1002+O1003+O1004+O1005)/(K1002+K1003+K1004+K1005)*100</f>
        <v>98</v>
      </c>
    </row>
    <row r="1003" ht="13.5" customHeight="1" spans="1:19">
      <c r="A1003" s="4" t="s">
        <v>77</v>
      </c>
      <c r="B1003" s="3">
        <v>1746</v>
      </c>
      <c r="C1003" s="3">
        <v>10331</v>
      </c>
      <c r="D1003" s="3">
        <v>0.1</v>
      </c>
      <c r="E1003" s="4" t="s">
        <v>22</v>
      </c>
      <c r="F1003" s="4" t="s">
        <v>137</v>
      </c>
      <c r="G1003" s="4" t="s">
        <v>137</v>
      </c>
      <c r="H1003" s="4" t="s">
        <v>40</v>
      </c>
      <c r="I1003" s="4" t="s">
        <v>156</v>
      </c>
      <c r="J1003" s="3">
        <v>2</v>
      </c>
      <c r="K1003" s="3">
        <v>25</v>
      </c>
      <c r="L1003" s="3">
        <v>12</v>
      </c>
      <c r="M1003" s="3">
        <v>0</v>
      </c>
      <c r="N1003" s="3">
        <v>0</v>
      </c>
      <c r="O1003" s="3">
        <v>13</v>
      </c>
      <c r="P1003" s="3">
        <f t="shared" si="0"/>
        <v>0</v>
      </c>
      <c r="Q1003" s="3">
        <f t="shared" si="1"/>
        <v>48</v>
      </c>
      <c r="R1003" s="3">
        <f t="shared" si="2"/>
        <v>52</v>
      </c>
      <c r="S1003" s="11"/>
    </row>
    <row r="1004" ht="13.5" customHeight="1" spans="1:19">
      <c r="A1004" s="4" t="s">
        <v>77</v>
      </c>
      <c r="B1004" s="3">
        <v>1746</v>
      </c>
      <c r="C1004" s="3">
        <v>10331</v>
      </c>
      <c r="D1004" s="3">
        <v>0.1</v>
      </c>
      <c r="E1004" s="4" t="s">
        <v>22</v>
      </c>
      <c r="F1004" s="4" t="s">
        <v>137</v>
      </c>
      <c r="G1004" s="4" t="s">
        <v>137</v>
      </c>
      <c r="H1004" s="4" t="s">
        <v>40</v>
      </c>
      <c r="I1004" s="4" t="s">
        <v>156</v>
      </c>
      <c r="J1004" s="3">
        <v>3</v>
      </c>
      <c r="K1004" s="3">
        <v>25</v>
      </c>
      <c r="L1004" s="3">
        <v>11</v>
      </c>
      <c r="M1004" s="3">
        <v>2</v>
      </c>
      <c r="N1004" s="3">
        <v>0</v>
      </c>
      <c r="O1004" s="3">
        <v>12</v>
      </c>
      <c r="P1004" s="3">
        <f t="shared" si="0"/>
        <v>0</v>
      </c>
      <c r="Q1004" s="3">
        <f t="shared" si="1"/>
        <v>44</v>
      </c>
      <c r="R1004" s="3">
        <f t="shared" si="2"/>
        <v>48</v>
      </c>
      <c r="S1004" s="11"/>
    </row>
    <row r="1005" ht="13.5" customHeight="1" spans="1:19">
      <c r="A1005" s="4" t="s">
        <v>77</v>
      </c>
      <c r="B1005" s="3">
        <v>1746</v>
      </c>
      <c r="C1005" s="3">
        <v>10331</v>
      </c>
      <c r="D1005" s="3">
        <v>0.1</v>
      </c>
      <c r="E1005" s="4" t="s">
        <v>22</v>
      </c>
      <c r="F1005" s="4" t="s">
        <v>137</v>
      </c>
      <c r="G1005" s="4" t="s">
        <v>137</v>
      </c>
      <c r="H1005" s="4" t="s">
        <v>40</v>
      </c>
      <c r="I1005" s="4" t="s">
        <v>156</v>
      </c>
      <c r="J1005" s="3">
        <v>4</v>
      </c>
      <c r="K1005" s="3">
        <v>25</v>
      </c>
      <c r="L1005" s="3">
        <v>14</v>
      </c>
      <c r="M1005" s="3">
        <v>0</v>
      </c>
      <c r="N1005" s="3">
        <v>0</v>
      </c>
      <c r="O1005" s="3">
        <v>11</v>
      </c>
      <c r="P1005" s="3">
        <f t="shared" si="0"/>
        <v>0</v>
      </c>
      <c r="Q1005" s="3">
        <f t="shared" si="1"/>
        <v>56</v>
      </c>
      <c r="R1005" s="3">
        <f t="shared" si="2"/>
        <v>44</v>
      </c>
      <c r="S1005" s="11"/>
    </row>
    <row r="1006" ht="13.5" customHeight="1" spans="1:21">
      <c r="A1006" s="4" t="s">
        <v>84</v>
      </c>
      <c r="B1006" s="3">
        <v>1177</v>
      </c>
      <c r="C1006" s="3">
        <v>8175</v>
      </c>
      <c r="D1006" s="3">
        <v>0.1</v>
      </c>
      <c r="E1006" s="4" t="s">
        <v>22</v>
      </c>
      <c r="F1006" s="4" t="s">
        <v>128</v>
      </c>
      <c r="G1006" s="4" t="s">
        <v>129</v>
      </c>
      <c r="H1006" s="4" t="s">
        <v>25</v>
      </c>
      <c r="I1006" s="4" t="s">
        <v>156</v>
      </c>
      <c r="J1006" s="3">
        <v>1</v>
      </c>
      <c r="K1006" s="3">
        <v>25</v>
      </c>
      <c r="L1006" s="3">
        <v>24</v>
      </c>
      <c r="M1006" s="3">
        <v>1</v>
      </c>
      <c r="N1006" s="3">
        <v>0</v>
      </c>
      <c r="O1006" s="3">
        <v>0</v>
      </c>
      <c r="P1006" s="3">
        <f t="shared" si="0"/>
        <v>0</v>
      </c>
      <c r="Q1006" s="3">
        <f t="shared" si="1"/>
        <v>96</v>
      </c>
      <c r="R1006" s="3">
        <f t="shared" si="2"/>
        <v>0</v>
      </c>
      <c r="S1006" s="11">
        <f>AVERAGE(Q1006:Q1009)</f>
        <v>98</v>
      </c>
      <c r="T1006" s="7">
        <f>AVERAGE(R1006:R1009)</f>
        <v>0</v>
      </c>
      <c r="U1006" s="8">
        <f>(L1006+L1007+L1008+L1009+O1006+O1007+O1008+O1009)/(K1006+K1007+K1008+K1009)*100</f>
        <v>97</v>
      </c>
    </row>
    <row r="1007" ht="13.5" customHeight="1" spans="1:19">
      <c r="A1007" s="4" t="s">
        <v>84</v>
      </c>
      <c r="B1007" s="3">
        <v>1177</v>
      </c>
      <c r="C1007" s="3">
        <v>8175</v>
      </c>
      <c r="D1007" s="3">
        <v>0.1</v>
      </c>
      <c r="E1007" s="4" t="s">
        <v>22</v>
      </c>
      <c r="F1007" s="4" t="s">
        <v>128</v>
      </c>
      <c r="G1007" s="4" t="s">
        <v>129</v>
      </c>
      <c r="H1007" s="4" t="s">
        <v>25</v>
      </c>
      <c r="I1007" s="4" t="s">
        <v>156</v>
      </c>
      <c r="J1007" s="3">
        <v>2</v>
      </c>
      <c r="K1007" s="3">
        <v>25</v>
      </c>
      <c r="L1007" s="3">
        <v>25</v>
      </c>
      <c r="M1007" s="3">
        <v>0</v>
      </c>
      <c r="N1007" s="3">
        <v>0</v>
      </c>
      <c r="O1007" s="3">
        <v>0</v>
      </c>
      <c r="P1007" s="3">
        <f t="shared" si="0"/>
        <v>0</v>
      </c>
      <c r="Q1007" s="3">
        <f t="shared" si="1"/>
        <v>100</v>
      </c>
      <c r="R1007" s="3">
        <f t="shared" si="2"/>
        <v>0</v>
      </c>
      <c r="S1007" s="11"/>
    </row>
    <row r="1008" ht="13.5" customHeight="1" spans="1:19">
      <c r="A1008" s="4" t="s">
        <v>84</v>
      </c>
      <c r="B1008" s="3">
        <v>1177</v>
      </c>
      <c r="C1008" s="3">
        <v>8175</v>
      </c>
      <c r="D1008" s="3">
        <v>0.1</v>
      </c>
      <c r="E1008" s="4" t="s">
        <v>22</v>
      </c>
      <c r="F1008" s="4" t="s">
        <v>128</v>
      </c>
      <c r="G1008" s="4" t="s">
        <v>129</v>
      </c>
      <c r="H1008" s="4" t="s">
        <v>25</v>
      </c>
      <c r="I1008" s="4" t="s">
        <v>156</v>
      </c>
      <c r="J1008" s="3">
        <v>3</v>
      </c>
      <c r="K1008" s="3">
        <v>25</v>
      </c>
      <c r="L1008" s="3">
        <v>24</v>
      </c>
      <c r="M1008" s="3">
        <v>0</v>
      </c>
      <c r="N1008" s="3">
        <v>1</v>
      </c>
      <c r="O1008" s="3">
        <v>0</v>
      </c>
      <c r="P1008" s="3">
        <f t="shared" si="0"/>
        <v>0</v>
      </c>
      <c r="Q1008" s="3">
        <f t="shared" si="1"/>
        <v>100</v>
      </c>
      <c r="R1008" s="3">
        <f t="shared" si="2"/>
        <v>0</v>
      </c>
      <c r="S1008" s="11"/>
    </row>
    <row r="1009" ht="13.5" customHeight="1" spans="1:19">
      <c r="A1009" s="4" t="s">
        <v>84</v>
      </c>
      <c r="B1009" s="3">
        <v>1177</v>
      </c>
      <c r="C1009" s="3">
        <v>8175</v>
      </c>
      <c r="D1009" s="3">
        <v>0.1</v>
      </c>
      <c r="E1009" s="4" t="s">
        <v>22</v>
      </c>
      <c r="F1009" s="4" t="s">
        <v>128</v>
      </c>
      <c r="G1009" s="4" t="s">
        <v>129</v>
      </c>
      <c r="H1009" s="4" t="s">
        <v>25</v>
      </c>
      <c r="I1009" s="4" t="s">
        <v>156</v>
      </c>
      <c r="J1009" s="3">
        <v>4</v>
      </c>
      <c r="K1009" s="3">
        <v>25</v>
      </c>
      <c r="L1009" s="3">
        <v>24</v>
      </c>
      <c r="M1009" s="3">
        <v>1</v>
      </c>
      <c r="N1009" s="3">
        <v>0</v>
      </c>
      <c r="O1009" s="3">
        <v>0</v>
      </c>
      <c r="P1009" s="3">
        <f t="shared" si="0"/>
        <v>0</v>
      </c>
      <c r="Q1009" s="3">
        <f t="shared" si="1"/>
        <v>96</v>
      </c>
      <c r="R1009" s="3">
        <f t="shared" si="2"/>
        <v>0</v>
      </c>
      <c r="S1009" s="11"/>
    </row>
    <row r="1010" ht="13.5" customHeight="1" spans="1:21">
      <c r="A1010" s="4" t="s">
        <v>46</v>
      </c>
      <c r="B1010" s="3">
        <v>1270</v>
      </c>
      <c r="C1010" s="3">
        <v>8757</v>
      </c>
      <c r="D1010" s="3">
        <v>0.1</v>
      </c>
      <c r="E1010" s="4" t="s">
        <v>22</v>
      </c>
      <c r="F1010" s="4" t="s">
        <v>128</v>
      </c>
      <c r="G1010" s="4" t="s">
        <v>129</v>
      </c>
      <c r="H1010" s="4" t="s">
        <v>25</v>
      </c>
      <c r="I1010" s="4" t="s">
        <v>156</v>
      </c>
      <c r="J1010" s="3">
        <v>1</v>
      </c>
      <c r="K1010" s="3">
        <v>24</v>
      </c>
      <c r="L1010" s="3">
        <v>23</v>
      </c>
      <c r="M1010" s="3">
        <v>0</v>
      </c>
      <c r="N1010" s="3">
        <v>1</v>
      </c>
      <c r="O1010" s="3">
        <v>0</v>
      </c>
      <c r="P1010" s="3">
        <f t="shared" si="0"/>
        <v>0</v>
      </c>
      <c r="Q1010" s="3">
        <f t="shared" si="1"/>
        <v>100</v>
      </c>
      <c r="R1010" s="3">
        <f t="shared" si="2"/>
        <v>0</v>
      </c>
      <c r="S1010" s="11">
        <f>AVERAGE(Q1010:Q1013)</f>
        <v>94.9166666666667</v>
      </c>
      <c r="T1010" s="7">
        <f>AVERAGE(R1010:R1013)</f>
        <v>0</v>
      </c>
      <c r="U1010" s="8">
        <f>(L1010+L1011+L1012+L1013+O1010+O1011+O1012+O1013)/(K1010+K1011+K1012+K1013)*100</f>
        <v>93.8775510204082</v>
      </c>
    </row>
    <row r="1011" ht="13.5" customHeight="1" spans="1:19">
      <c r="A1011" s="4" t="s">
        <v>46</v>
      </c>
      <c r="B1011" s="3">
        <v>1270</v>
      </c>
      <c r="C1011" s="3">
        <v>8757</v>
      </c>
      <c r="D1011" s="3">
        <v>0.1</v>
      </c>
      <c r="E1011" s="4" t="s">
        <v>22</v>
      </c>
      <c r="F1011" s="4" t="s">
        <v>128</v>
      </c>
      <c r="G1011" s="4" t="s">
        <v>129</v>
      </c>
      <c r="H1011" s="4" t="s">
        <v>25</v>
      </c>
      <c r="I1011" s="4" t="s">
        <v>156</v>
      </c>
      <c r="J1011" s="3">
        <v>2</v>
      </c>
      <c r="K1011" s="3">
        <v>24</v>
      </c>
      <c r="L1011" s="3">
        <v>22</v>
      </c>
      <c r="M1011" s="3">
        <v>2</v>
      </c>
      <c r="N1011" s="3">
        <v>0</v>
      </c>
      <c r="O1011" s="3">
        <v>0</v>
      </c>
      <c r="P1011" s="3">
        <f t="shared" si="0"/>
        <v>0</v>
      </c>
      <c r="Q1011" s="3">
        <f t="shared" si="1"/>
        <v>91.6666666666667</v>
      </c>
      <c r="R1011" s="3">
        <f t="shared" si="2"/>
        <v>0</v>
      </c>
      <c r="S1011" s="11"/>
    </row>
    <row r="1012" ht="13.5" customHeight="1" spans="1:19">
      <c r="A1012" s="4" t="s">
        <v>46</v>
      </c>
      <c r="B1012" s="3">
        <v>1270</v>
      </c>
      <c r="C1012" s="3">
        <v>8757</v>
      </c>
      <c r="D1012" s="3">
        <v>0.1</v>
      </c>
      <c r="E1012" s="4" t="s">
        <v>22</v>
      </c>
      <c r="F1012" s="4" t="s">
        <v>128</v>
      </c>
      <c r="G1012" s="4" t="s">
        <v>129</v>
      </c>
      <c r="H1012" s="4" t="s">
        <v>25</v>
      </c>
      <c r="I1012" s="4" t="s">
        <v>156</v>
      </c>
      <c r="J1012" s="3">
        <v>3</v>
      </c>
      <c r="K1012" s="3">
        <v>25</v>
      </c>
      <c r="L1012" s="3">
        <v>23</v>
      </c>
      <c r="M1012" s="3">
        <v>2</v>
      </c>
      <c r="N1012" s="3">
        <v>0</v>
      </c>
      <c r="O1012" s="3">
        <v>0</v>
      </c>
      <c r="P1012" s="3">
        <f t="shared" si="0"/>
        <v>0</v>
      </c>
      <c r="Q1012" s="3">
        <f t="shared" si="1"/>
        <v>92</v>
      </c>
      <c r="R1012" s="3">
        <f t="shared" si="2"/>
        <v>0</v>
      </c>
      <c r="S1012" s="11"/>
    </row>
    <row r="1013" ht="13.5" customHeight="1" spans="1:19">
      <c r="A1013" s="4" t="s">
        <v>46</v>
      </c>
      <c r="B1013" s="3">
        <v>1270</v>
      </c>
      <c r="C1013" s="3">
        <v>8757</v>
      </c>
      <c r="D1013" s="3">
        <v>0.1</v>
      </c>
      <c r="E1013" s="4" t="s">
        <v>22</v>
      </c>
      <c r="F1013" s="4" t="s">
        <v>128</v>
      </c>
      <c r="G1013" s="4" t="s">
        <v>129</v>
      </c>
      <c r="H1013" s="4" t="s">
        <v>25</v>
      </c>
      <c r="I1013" s="4" t="s">
        <v>156</v>
      </c>
      <c r="J1013" s="3">
        <v>4</v>
      </c>
      <c r="K1013" s="3">
        <v>25</v>
      </c>
      <c r="L1013" s="3">
        <v>24</v>
      </c>
      <c r="M1013" s="3">
        <v>1</v>
      </c>
      <c r="N1013" s="3">
        <v>0</v>
      </c>
      <c r="O1013" s="3">
        <v>0</v>
      </c>
      <c r="P1013" s="3">
        <f t="shared" si="0"/>
        <v>0</v>
      </c>
      <c r="Q1013" s="3">
        <f t="shared" si="1"/>
        <v>96</v>
      </c>
      <c r="R1013" s="3">
        <f t="shared" si="2"/>
        <v>0</v>
      </c>
      <c r="S1013" s="11"/>
    </row>
    <row r="1014" ht="13.5" customHeight="1" spans="1:21">
      <c r="A1014" s="4" t="s">
        <v>32</v>
      </c>
      <c r="B1014" s="3">
        <v>1342</v>
      </c>
      <c r="C1014" s="3">
        <v>9074</v>
      </c>
      <c r="D1014" s="3">
        <v>0.1</v>
      </c>
      <c r="E1014" s="4" t="s">
        <v>33</v>
      </c>
      <c r="F1014" s="4" t="s">
        <v>34</v>
      </c>
      <c r="G1014" s="4" t="s">
        <v>35</v>
      </c>
      <c r="H1014" s="4" t="s">
        <v>25</v>
      </c>
      <c r="I1014" s="4" t="s">
        <v>156</v>
      </c>
      <c r="J1014" s="3">
        <v>1</v>
      </c>
      <c r="K1014" s="3">
        <v>25</v>
      </c>
      <c r="L1014" s="3">
        <v>23</v>
      </c>
      <c r="M1014" s="3">
        <v>2</v>
      </c>
      <c r="N1014" s="3">
        <v>0</v>
      </c>
      <c r="O1014" s="3">
        <v>0</v>
      </c>
      <c r="P1014" s="3">
        <f t="shared" si="0"/>
        <v>0</v>
      </c>
      <c r="Q1014" s="3">
        <f t="shared" si="1"/>
        <v>92</v>
      </c>
      <c r="R1014" s="3">
        <f t="shared" si="2"/>
        <v>0</v>
      </c>
      <c r="S1014" s="11">
        <f>AVERAGE(Q1014:Q1017)</f>
        <v>97</v>
      </c>
      <c r="T1014" s="7">
        <f>AVERAGE(R1014:R1017)</f>
        <v>0</v>
      </c>
      <c r="U1014" s="8">
        <f>(L1014+L1015+L1016+L1017+O1014+O1015+O1016+O1017)/(K1014+K1015+K1016+K1017)*100</f>
        <v>97</v>
      </c>
    </row>
    <row r="1015" ht="13.5" customHeight="1" spans="1:19">
      <c r="A1015" s="4" t="s">
        <v>32</v>
      </c>
      <c r="B1015" s="3">
        <v>1342</v>
      </c>
      <c r="C1015" s="3">
        <v>9074</v>
      </c>
      <c r="D1015" s="3">
        <v>0.1</v>
      </c>
      <c r="E1015" s="4" t="s">
        <v>33</v>
      </c>
      <c r="F1015" s="4" t="s">
        <v>34</v>
      </c>
      <c r="G1015" s="4" t="s">
        <v>35</v>
      </c>
      <c r="H1015" s="4" t="s">
        <v>25</v>
      </c>
      <c r="I1015" s="4" t="s">
        <v>156</v>
      </c>
      <c r="J1015" s="3">
        <v>2</v>
      </c>
      <c r="K1015" s="3">
        <v>25</v>
      </c>
      <c r="L1015" s="3">
        <v>24</v>
      </c>
      <c r="M1015" s="3">
        <v>1</v>
      </c>
      <c r="N1015" s="3">
        <v>0</v>
      </c>
      <c r="O1015" s="3">
        <v>0</v>
      </c>
      <c r="P1015" s="3">
        <f t="shared" si="0"/>
        <v>0</v>
      </c>
      <c r="Q1015" s="3">
        <f t="shared" si="1"/>
        <v>96</v>
      </c>
      <c r="R1015" s="3">
        <f t="shared" si="2"/>
        <v>0</v>
      </c>
      <c r="S1015" s="11"/>
    </row>
    <row r="1016" ht="13.5" customHeight="1" spans="1:19">
      <c r="A1016" s="4" t="s">
        <v>32</v>
      </c>
      <c r="B1016" s="3">
        <v>1342</v>
      </c>
      <c r="C1016" s="3">
        <v>9074</v>
      </c>
      <c r="D1016" s="3">
        <v>0.1</v>
      </c>
      <c r="E1016" s="4" t="s">
        <v>33</v>
      </c>
      <c r="F1016" s="4" t="s">
        <v>34</v>
      </c>
      <c r="G1016" s="4" t="s">
        <v>35</v>
      </c>
      <c r="H1016" s="4" t="s">
        <v>25</v>
      </c>
      <c r="I1016" s="4" t="s">
        <v>156</v>
      </c>
      <c r="J1016" s="3">
        <v>3</v>
      </c>
      <c r="K1016" s="3">
        <v>25</v>
      </c>
      <c r="L1016" s="3">
        <v>25</v>
      </c>
      <c r="M1016" s="3">
        <v>0</v>
      </c>
      <c r="N1016" s="3">
        <v>0</v>
      </c>
      <c r="O1016" s="3">
        <v>0</v>
      </c>
      <c r="P1016" s="3">
        <f t="shared" si="0"/>
        <v>0</v>
      </c>
      <c r="Q1016" s="3">
        <f t="shared" si="1"/>
        <v>100</v>
      </c>
      <c r="R1016" s="3">
        <f t="shared" si="2"/>
        <v>0</v>
      </c>
      <c r="S1016" s="11"/>
    </row>
    <row r="1017" ht="13.5" customHeight="1" spans="1:19">
      <c r="A1017" s="4" t="s">
        <v>32</v>
      </c>
      <c r="B1017" s="3">
        <v>1342</v>
      </c>
      <c r="C1017" s="3">
        <v>9074</v>
      </c>
      <c r="D1017" s="3">
        <v>0.1</v>
      </c>
      <c r="E1017" s="4" t="s">
        <v>33</v>
      </c>
      <c r="F1017" s="4" t="s">
        <v>34</v>
      </c>
      <c r="G1017" s="4" t="s">
        <v>35</v>
      </c>
      <c r="H1017" s="4" t="s">
        <v>25</v>
      </c>
      <c r="I1017" s="4" t="s">
        <v>156</v>
      </c>
      <c r="J1017" s="3">
        <v>4</v>
      </c>
      <c r="K1017" s="3">
        <v>25</v>
      </c>
      <c r="L1017" s="3">
        <v>25</v>
      </c>
      <c r="M1017" s="3">
        <v>0</v>
      </c>
      <c r="N1017" s="3">
        <v>0</v>
      </c>
      <c r="O1017" s="3">
        <v>0</v>
      </c>
      <c r="P1017" s="3">
        <f t="shared" si="0"/>
        <v>0</v>
      </c>
      <c r="Q1017" s="3">
        <f t="shared" si="1"/>
        <v>100</v>
      </c>
      <c r="R1017" s="3">
        <f t="shared" si="2"/>
        <v>0</v>
      </c>
      <c r="S1017" s="11"/>
    </row>
    <row r="1018" ht="13.5" customHeight="1" spans="1:21">
      <c r="A1018" s="4" t="s">
        <v>66</v>
      </c>
      <c r="B1018" s="3">
        <v>1153</v>
      </c>
      <c r="C1018" s="3">
        <v>7684</v>
      </c>
      <c r="D1018" s="3">
        <v>0.1</v>
      </c>
      <c r="E1018" s="4" t="s">
        <v>22</v>
      </c>
      <c r="F1018" s="4" t="s">
        <v>128</v>
      </c>
      <c r="G1018" s="4" t="s">
        <v>129</v>
      </c>
      <c r="H1018" s="4" t="s">
        <v>25</v>
      </c>
      <c r="I1018" s="4" t="s">
        <v>156</v>
      </c>
      <c r="J1018" s="3">
        <v>1</v>
      </c>
      <c r="K1018" s="3">
        <v>25</v>
      </c>
      <c r="L1018" s="3">
        <v>25</v>
      </c>
      <c r="M1018" s="3">
        <v>0</v>
      </c>
      <c r="N1018" s="3">
        <v>0</v>
      </c>
      <c r="O1018" s="3">
        <v>0</v>
      </c>
      <c r="P1018" s="3">
        <f t="shared" si="0"/>
        <v>0</v>
      </c>
      <c r="Q1018" s="3">
        <f t="shared" si="1"/>
        <v>100</v>
      </c>
      <c r="R1018" s="3">
        <f t="shared" si="2"/>
        <v>0</v>
      </c>
      <c r="S1018" s="11">
        <f>AVERAGE(Q1018:Q1021)</f>
        <v>97</v>
      </c>
      <c r="T1018" s="7">
        <f>AVERAGE(R1018:R1021)</f>
        <v>0</v>
      </c>
      <c r="U1018" s="8">
        <f>(L1018+L1019+L1020+L1021+O1018+O1019+O1020+O1021)/(K1018+K1019+K1020+K1021)*100</f>
        <v>97</v>
      </c>
    </row>
    <row r="1019" ht="13.5" customHeight="1" spans="1:19">
      <c r="A1019" s="4" t="s">
        <v>66</v>
      </c>
      <c r="B1019" s="3">
        <v>1153</v>
      </c>
      <c r="C1019" s="3">
        <v>7684</v>
      </c>
      <c r="D1019" s="3">
        <v>0.1</v>
      </c>
      <c r="E1019" s="4" t="s">
        <v>22</v>
      </c>
      <c r="F1019" s="4" t="s">
        <v>128</v>
      </c>
      <c r="G1019" s="4" t="s">
        <v>129</v>
      </c>
      <c r="H1019" s="4" t="s">
        <v>25</v>
      </c>
      <c r="I1019" s="4" t="s">
        <v>156</v>
      </c>
      <c r="J1019" s="3">
        <v>2</v>
      </c>
      <c r="K1019" s="3">
        <v>25</v>
      </c>
      <c r="L1019" s="3">
        <v>24</v>
      </c>
      <c r="M1019" s="3">
        <v>1</v>
      </c>
      <c r="N1019" s="3">
        <v>0</v>
      </c>
      <c r="O1019" s="3">
        <v>0</v>
      </c>
      <c r="P1019" s="3">
        <f t="shared" si="0"/>
        <v>0</v>
      </c>
      <c r="Q1019" s="3">
        <f t="shared" si="1"/>
        <v>96</v>
      </c>
      <c r="R1019" s="3">
        <f t="shared" si="2"/>
        <v>0</v>
      </c>
      <c r="S1019" s="11"/>
    </row>
    <row r="1020" ht="13.5" customHeight="1" spans="1:19">
      <c r="A1020" s="4" t="s">
        <v>66</v>
      </c>
      <c r="B1020" s="3">
        <v>1153</v>
      </c>
      <c r="C1020" s="3">
        <v>7684</v>
      </c>
      <c r="D1020" s="3">
        <v>0.1</v>
      </c>
      <c r="E1020" s="4" t="s">
        <v>22</v>
      </c>
      <c r="F1020" s="4" t="s">
        <v>128</v>
      </c>
      <c r="G1020" s="4" t="s">
        <v>129</v>
      </c>
      <c r="H1020" s="4" t="s">
        <v>25</v>
      </c>
      <c r="I1020" s="4" t="s">
        <v>156</v>
      </c>
      <c r="J1020" s="3">
        <v>3</v>
      </c>
      <c r="K1020" s="3">
        <v>25</v>
      </c>
      <c r="L1020" s="3">
        <v>24</v>
      </c>
      <c r="M1020" s="3">
        <v>1</v>
      </c>
      <c r="N1020" s="3">
        <v>0</v>
      </c>
      <c r="O1020" s="3">
        <v>0</v>
      </c>
      <c r="P1020" s="3">
        <f t="shared" si="0"/>
        <v>0</v>
      </c>
      <c r="Q1020" s="3">
        <f t="shared" si="1"/>
        <v>96</v>
      </c>
      <c r="R1020" s="3">
        <f t="shared" si="2"/>
        <v>0</v>
      </c>
      <c r="S1020" s="11"/>
    </row>
    <row r="1021" ht="13.5" customHeight="1" spans="1:19">
      <c r="A1021" s="4" t="s">
        <v>66</v>
      </c>
      <c r="B1021" s="3">
        <v>1153</v>
      </c>
      <c r="C1021" s="3">
        <v>7684</v>
      </c>
      <c r="D1021" s="3">
        <v>0.1</v>
      </c>
      <c r="E1021" s="4" t="s">
        <v>22</v>
      </c>
      <c r="F1021" s="4" t="s">
        <v>128</v>
      </c>
      <c r="G1021" s="4" t="s">
        <v>129</v>
      </c>
      <c r="H1021" s="4" t="s">
        <v>25</v>
      </c>
      <c r="I1021" s="4" t="s">
        <v>156</v>
      </c>
      <c r="J1021" s="3">
        <v>4</v>
      </c>
      <c r="K1021" s="3">
        <v>25</v>
      </c>
      <c r="L1021" s="3">
        <v>24</v>
      </c>
      <c r="M1021" s="3">
        <v>1</v>
      </c>
      <c r="N1021" s="3">
        <v>0</v>
      </c>
      <c r="O1021" s="3">
        <v>0</v>
      </c>
      <c r="P1021" s="3">
        <f t="shared" si="0"/>
        <v>0</v>
      </c>
      <c r="Q1021" s="3">
        <f t="shared" si="1"/>
        <v>96</v>
      </c>
      <c r="R1021" s="3">
        <f t="shared" si="2"/>
        <v>0</v>
      </c>
      <c r="S1021" s="11"/>
    </row>
    <row r="1022" ht="13.5" customHeight="1" spans="1:21">
      <c r="A1022" s="4" t="s">
        <v>41</v>
      </c>
      <c r="B1022" s="3">
        <v>1073</v>
      </c>
      <c r="C1022" s="3">
        <v>6256</v>
      </c>
      <c r="D1022" s="3">
        <v>1</v>
      </c>
      <c r="E1022" s="4" t="s">
        <v>28</v>
      </c>
      <c r="F1022" s="4" t="s">
        <v>29</v>
      </c>
      <c r="G1022" s="4" t="s">
        <v>30</v>
      </c>
      <c r="H1022" s="4" t="s">
        <v>31</v>
      </c>
      <c r="I1022" s="4" t="s">
        <v>156</v>
      </c>
      <c r="J1022" s="3">
        <v>1</v>
      </c>
      <c r="K1022" s="3">
        <v>25</v>
      </c>
      <c r="L1022" s="3">
        <v>7</v>
      </c>
      <c r="M1022" s="3">
        <v>0</v>
      </c>
      <c r="N1022" s="3">
        <v>0</v>
      </c>
      <c r="O1022" s="3">
        <v>18</v>
      </c>
      <c r="P1022" s="3">
        <f t="shared" si="0"/>
        <v>0</v>
      </c>
      <c r="Q1022" s="3">
        <f t="shared" si="1"/>
        <v>28</v>
      </c>
      <c r="R1022" s="3">
        <f t="shared" si="2"/>
        <v>72</v>
      </c>
      <c r="S1022" s="11">
        <f>AVERAGE(Q1022:Q1025)</f>
        <v>25.5454545454545</v>
      </c>
      <c r="T1022" s="7">
        <f>AVERAGE(R1022:R1025)</f>
        <v>74.4545454545455</v>
      </c>
      <c r="U1022" s="8">
        <f>(L1022+L1023+L1024+L1025+O1022+O1023+O1024+O1025)/(K1022+K1023+K1024+K1025)*100</f>
        <v>97</v>
      </c>
    </row>
    <row r="1023" ht="13.5" customHeight="1" spans="1:19">
      <c r="A1023" s="4" t="s">
        <v>41</v>
      </c>
      <c r="B1023" s="3">
        <v>1073</v>
      </c>
      <c r="C1023" s="3">
        <v>6256</v>
      </c>
      <c r="D1023" s="3">
        <v>1</v>
      </c>
      <c r="E1023" s="4" t="s">
        <v>28</v>
      </c>
      <c r="F1023" s="4" t="s">
        <v>29</v>
      </c>
      <c r="G1023" s="4" t="s">
        <v>30</v>
      </c>
      <c r="H1023" s="4" t="s">
        <v>31</v>
      </c>
      <c r="I1023" s="4" t="s">
        <v>156</v>
      </c>
      <c r="J1023" s="3">
        <v>2</v>
      </c>
      <c r="K1023" s="3">
        <v>25</v>
      </c>
      <c r="L1023" s="3">
        <v>4</v>
      </c>
      <c r="M1023" s="3">
        <v>0</v>
      </c>
      <c r="N1023" s="3">
        <v>3</v>
      </c>
      <c r="O1023" s="3">
        <v>18</v>
      </c>
      <c r="P1023" s="3">
        <f t="shared" si="0"/>
        <v>0</v>
      </c>
      <c r="Q1023" s="3">
        <f t="shared" si="1"/>
        <v>18.1818181818182</v>
      </c>
      <c r="R1023" s="3">
        <f t="shared" si="2"/>
        <v>81.8181818181818</v>
      </c>
      <c r="S1023" s="11"/>
    </row>
    <row r="1024" ht="13.5" customHeight="1" spans="1:19">
      <c r="A1024" s="4" t="s">
        <v>41</v>
      </c>
      <c r="B1024" s="3">
        <v>1073</v>
      </c>
      <c r="C1024" s="3">
        <v>6256</v>
      </c>
      <c r="D1024" s="3">
        <v>1</v>
      </c>
      <c r="E1024" s="4" t="s">
        <v>28</v>
      </c>
      <c r="F1024" s="4" t="s">
        <v>29</v>
      </c>
      <c r="G1024" s="4" t="s">
        <v>30</v>
      </c>
      <c r="H1024" s="4" t="s">
        <v>31</v>
      </c>
      <c r="I1024" s="4" t="s">
        <v>156</v>
      </c>
      <c r="J1024" s="3">
        <v>3</v>
      </c>
      <c r="K1024" s="3">
        <v>25</v>
      </c>
      <c r="L1024" s="3">
        <v>9</v>
      </c>
      <c r="M1024" s="3">
        <v>0</v>
      </c>
      <c r="N1024" s="3">
        <v>0</v>
      </c>
      <c r="O1024" s="3">
        <v>16</v>
      </c>
      <c r="P1024" s="3">
        <f t="shared" si="0"/>
        <v>0</v>
      </c>
      <c r="Q1024" s="3">
        <f t="shared" si="1"/>
        <v>36</v>
      </c>
      <c r="R1024" s="3">
        <f t="shared" si="2"/>
        <v>64</v>
      </c>
      <c r="S1024" s="11"/>
    </row>
    <row r="1025" ht="13.5" customHeight="1" spans="1:19">
      <c r="A1025" s="4" t="s">
        <v>41</v>
      </c>
      <c r="B1025" s="3">
        <v>1073</v>
      </c>
      <c r="C1025" s="3">
        <v>6256</v>
      </c>
      <c r="D1025" s="3">
        <v>1</v>
      </c>
      <c r="E1025" s="4" t="s">
        <v>28</v>
      </c>
      <c r="F1025" s="4" t="s">
        <v>29</v>
      </c>
      <c r="G1025" s="4" t="s">
        <v>30</v>
      </c>
      <c r="H1025" s="4" t="s">
        <v>31</v>
      </c>
      <c r="I1025" s="4" t="s">
        <v>156</v>
      </c>
      <c r="J1025" s="3">
        <v>4</v>
      </c>
      <c r="K1025" s="3">
        <v>25</v>
      </c>
      <c r="L1025" s="3">
        <v>5</v>
      </c>
      <c r="M1025" s="3">
        <v>0</v>
      </c>
      <c r="N1025" s="3">
        <v>0</v>
      </c>
      <c r="O1025" s="3">
        <v>20</v>
      </c>
      <c r="P1025" s="3">
        <f t="shared" si="0"/>
        <v>0</v>
      </c>
      <c r="Q1025" s="3">
        <f t="shared" si="1"/>
        <v>20</v>
      </c>
      <c r="R1025" s="3">
        <f t="shared" si="2"/>
        <v>80</v>
      </c>
      <c r="S1025" s="11"/>
    </row>
    <row r="1026" ht="13.5" customHeight="1" spans="1:21">
      <c r="A1026" s="4" t="s">
        <v>32</v>
      </c>
      <c r="B1026" s="3">
        <v>1342</v>
      </c>
      <c r="C1026" s="3">
        <v>9074</v>
      </c>
      <c r="D1026" s="3">
        <v>2</v>
      </c>
      <c r="E1026" s="4" t="s">
        <v>33</v>
      </c>
      <c r="F1026" s="4" t="s">
        <v>67</v>
      </c>
      <c r="G1026" s="4" t="s">
        <v>68</v>
      </c>
      <c r="H1026" s="4" t="s">
        <v>40</v>
      </c>
      <c r="I1026" s="4" t="s">
        <v>156</v>
      </c>
      <c r="J1026" s="3">
        <v>1</v>
      </c>
      <c r="K1026" s="3">
        <v>25</v>
      </c>
      <c r="L1026" s="3">
        <v>23</v>
      </c>
      <c r="M1026" s="3">
        <v>1</v>
      </c>
      <c r="N1026" s="3">
        <v>0</v>
      </c>
      <c r="O1026" s="3">
        <v>1</v>
      </c>
      <c r="P1026" s="3">
        <f t="shared" si="0"/>
        <v>0</v>
      </c>
      <c r="Q1026" s="3">
        <f t="shared" si="1"/>
        <v>92</v>
      </c>
      <c r="R1026" s="3">
        <f t="shared" si="2"/>
        <v>4</v>
      </c>
      <c r="S1026" s="11">
        <f>AVERAGE(Q1026:Q1029)</f>
        <v>92.5652173913043</v>
      </c>
      <c r="T1026" s="7">
        <f>AVERAGE(R1026:R1029)</f>
        <v>2.08695652173913</v>
      </c>
      <c r="U1026" s="8">
        <f>(L1026+L1027+L1028+L1029+O1026+O1027+O1028+O1029)/(K1026+K1027+K1028+K1029)*100</f>
        <v>89</v>
      </c>
    </row>
    <row r="1027" ht="13.5" customHeight="1" spans="1:19">
      <c r="A1027" s="4" t="s">
        <v>32</v>
      </c>
      <c r="B1027" s="3">
        <v>1342</v>
      </c>
      <c r="C1027" s="3">
        <v>9074</v>
      </c>
      <c r="D1027" s="3">
        <v>2</v>
      </c>
      <c r="E1027" s="4" t="s">
        <v>33</v>
      </c>
      <c r="F1027" s="4" t="s">
        <v>67</v>
      </c>
      <c r="G1027" s="4" t="s">
        <v>68</v>
      </c>
      <c r="H1027" s="4" t="s">
        <v>40</v>
      </c>
      <c r="I1027" s="4" t="s">
        <v>156</v>
      </c>
      <c r="J1027" s="3">
        <v>2</v>
      </c>
      <c r="K1027" s="3">
        <v>25</v>
      </c>
      <c r="L1027" s="3">
        <v>22</v>
      </c>
      <c r="M1027" s="3">
        <v>1</v>
      </c>
      <c r="N1027" s="3">
        <v>2</v>
      </c>
      <c r="O1027" s="3">
        <v>0</v>
      </c>
      <c r="P1027" s="3">
        <f t="shared" si="0"/>
        <v>0</v>
      </c>
      <c r="Q1027" s="3">
        <f t="shared" si="1"/>
        <v>95.6521739130435</v>
      </c>
      <c r="R1027" s="3">
        <f t="shared" si="2"/>
        <v>0</v>
      </c>
      <c r="S1027" s="11"/>
    </row>
    <row r="1028" ht="13.5" customHeight="1" spans="1:19">
      <c r="A1028" s="4" t="s">
        <v>32</v>
      </c>
      <c r="B1028" s="3">
        <v>1342</v>
      </c>
      <c r="C1028" s="3">
        <v>9074</v>
      </c>
      <c r="D1028" s="3">
        <v>2</v>
      </c>
      <c r="E1028" s="4" t="s">
        <v>33</v>
      </c>
      <c r="F1028" s="4" t="s">
        <v>67</v>
      </c>
      <c r="G1028" s="4" t="s">
        <v>68</v>
      </c>
      <c r="H1028" s="4" t="s">
        <v>40</v>
      </c>
      <c r="I1028" s="4" t="s">
        <v>156</v>
      </c>
      <c r="J1028" s="3">
        <v>3</v>
      </c>
      <c r="K1028" s="3">
        <v>25</v>
      </c>
      <c r="L1028" s="3">
        <v>21</v>
      </c>
      <c r="M1028" s="3">
        <v>1</v>
      </c>
      <c r="N1028" s="3">
        <v>2</v>
      </c>
      <c r="O1028" s="3">
        <v>1</v>
      </c>
      <c r="P1028" s="3">
        <f t="shared" si="0"/>
        <v>0</v>
      </c>
      <c r="Q1028" s="3">
        <f t="shared" si="1"/>
        <v>91.304347826087</v>
      </c>
      <c r="R1028" s="3">
        <f t="shared" si="2"/>
        <v>4.34782608695652</v>
      </c>
      <c r="S1028" s="11"/>
    </row>
    <row r="1029" ht="13.5" customHeight="1" spans="1:19">
      <c r="A1029" s="4" t="s">
        <v>32</v>
      </c>
      <c r="B1029" s="3">
        <v>1342</v>
      </c>
      <c r="C1029" s="3">
        <v>9074</v>
      </c>
      <c r="D1029" s="3">
        <v>2</v>
      </c>
      <c r="E1029" s="4" t="s">
        <v>33</v>
      </c>
      <c r="F1029" s="4" t="s">
        <v>67</v>
      </c>
      <c r="G1029" s="4" t="s">
        <v>68</v>
      </c>
      <c r="H1029" s="4" t="s">
        <v>40</v>
      </c>
      <c r="I1029" s="4" t="s">
        <v>156</v>
      </c>
      <c r="J1029" s="3">
        <v>4</v>
      </c>
      <c r="K1029" s="3">
        <v>25</v>
      </c>
      <c r="L1029" s="3">
        <v>21</v>
      </c>
      <c r="M1029" s="3">
        <v>2</v>
      </c>
      <c r="N1029" s="3">
        <v>2</v>
      </c>
      <c r="O1029" s="3">
        <v>0</v>
      </c>
      <c r="P1029" s="3">
        <f t="shared" si="0"/>
        <v>0</v>
      </c>
      <c r="Q1029" s="3">
        <f t="shared" si="1"/>
        <v>91.304347826087</v>
      </c>
      <c r="R1029" s="3">
        <f t="shared" si="2"/>
        <v>0</v>
      </c>
      <c r="S1029" s="11"/>
    </row>
    <row r="1030" ht="13.5" customHeight="1" spans="1:21">
      <c r="A1030" s="4" t="s">
        <v>60</v>
      </c>
      <c r="B1030" s="3">
        <v>1330</v>
      </c>
      <c r="C1030" s="3">
        <v>9133</v>
      </c>
      <c r="D1030" s="3">
        <v>0.1</v>
      </c>
      <c r="E1030" s="4" t="s">
        <v>33</v>
      </c>
      <c r="F1030" s="4" t="s">
        <v>34</v>
      </c>
      <c r="G1030" s="4" t="s">
        <v>35</v>
      </c>
      <c r="H1030" s="4" t="s">
        <v>25</v>
      </c>
      <c r="I1030" s="4" t="s">
        <v>156</v>
      </c>
      <c r="J1030" s="3">
        <v>1</v>
      </c>
      <c r="K1030" s="3">
        <v>25</v>
      </c>
      <c r="L1030" s="3">
        <v>12</v>
      </c>
      <c r="M1030" s="3">
        <v>8</v>
      </c>
      <c r="N1030" s="3">
        <v>5</v>
      </c>
      <c r="O1030" s="3">
        <v>0</v>
      </c>
      <c r="P1030" s="3">
        <f t="shared" si="0"/>
        <v>0</v>
      </c>
      <c r="Q1030" s="3">
        <f t="shared" si="1"/>
        <v>60</v>
      </c>
      <c r="R1030" s="3">
        <f t="shared" si="2"/>
        <v>0</v>
      </c>
      <c r="S1030" s="11">
        <f>AVERAGE(Q1030:Q1033)</f>
        <v>67.3325358851675</v>
      </c>
      <c r="T1030" s="7">
        <f>AVERAGE(R1030:R1033)</f>
        <v>6.8181818181818</v>
      </c>
      <c r="U1030" s="8">
        <f>(L1030+L1031+L1032+L1033+O1030+O1031+O1032+O1033)/(K1030+K1031+K1032+K1033)*100</f>
        <v>62</v>
      </c>
    </row>
    <row r="1031" ht="13.5" customHeight="1" spans="1:19">
      <c r="A1031" s="4" t="s">
        <v>60</v>
      </c>
      <c r="B1031" s="3">
        <v>1330</v>
      </c>
      <c r="C1031" s="3">
        <v>9133</v>
      </c>
      <c r="D1031" s="3">
        <v>0.1</v>
      </c>
      <c r="E1031" s="4" t="s">
        <v>33</v>
      </c>
      <c r="F1031" s="4" t="s">
        <v>34</v>
      </c>
      <c r="G1031" s="4" t="s">
        <v>35</v>
      </c>
      <c r="H1031" s="4" t="s">
        <v>25</v>
      </c>
      <c r="I1031" s="4" t="s">
        <v>156</v>
      </c>
      <c r="J1031" s="3">
        <v>2</v>
      </c>
      <c r="K1031" s="3">
        <v>25</v>
      </c>
      <c r="L1031" s="3">
        <v>13</v>
      </c>
      <c r="M1031" s="3">
        <v>6</v>
      </c>
      <c r="N1031" s="3">
        <v>6</v>
      </c>
      <c r="O1031" s="3">
        <v>0</v>
      </c>
      <c r="P1031" s="3">
        <f t="shared" si="0"/>
        <v>0</v>
      </c>
      <c r="Q1031" s="3">
        <f t="shared" si="1"/>
        <v>68.4210526315789</v>
      </c>
      <c r="R1031" s="3">
        <f t="shared" si="2"/>
        <v>0</v>
      </c>
      <c r="S1031" s="11"/>
    </row>
    <row r="1032" ht="13.5" customHeight="1" spans="1:19">
      <c r="A1032" s="4" t="s">
        <v>60</v>
      </c>
      <c r="B1032" s="3">
        <v>1330</v>
      </c>
      <c r="C1032" s="3">
        <v>9133</v>
      </c>
      <c r="D1032" s="3">
        <v>0.1</v>
      </c>
      <c r="E1032" s="4" t="s">
        <v>33</v>
      </c>
      <c r="F1032" s="4" t="s">
        <v>34</v>
      </c>
      <c r="G1032" s="4" t="s">
        <v>35</v>
      </c>
      <c r="H1032" s="4" t="s">
        <v>25</v>
      </c>
      <c r="I1032" s="4" t="s">
        <v>156</v>
      </c>
      <c r="J1032" s="3">
        <v>3</v>
      </c>
      <c r="K1032" s="3">
        <v>25</v>
      </c>
      <c r="L1032" s="3">
        <v>15</v>
      </c>
      <c r="M1032" s="3">
        <v>4</v>
      </c>
      <c r="N1032" s="3">
        <v>3</v>
      </c>
      <c r="O1032" s="3">
        <v>3</v>
      </c>
      <c r="P1032" s="3">
        <f t="shared" si="0"/>
        <v>0</v>
      </c>
      <c r="Q1032" s="3">
        <f t="shared" si="1"/>
        <v>68.1818181818182</v>
      </c>
      <c r="R1032" s="3">
        <f t="shared" si="2"/>
        <v>13.6363636363636</v>
      </c>
      <c r="S1032" s="11"/>
    </row>
    <row r="1033" ht="13.5" customHeight="1" spans="1:19">
      <c r="A1033" s="4" t="s">
        <v>60</v>
      </c>
      <c r="B1033" s="3">
        <v>1330</v>
      </c>
      <c r="C1033" s="3">
        <v>9133</v>
      </c>
      <c r="D1033" s="3">
        <v>0.1</v>
      </c>
      <c r="E1033" s="4" t="s">
        <v>33</v>
      </c>
      <c r="F1033" s="4" t="s">
        <v>34</v>
      </c>
      <c r="G1033" s="4" t="s">
        <v>35</v>
      </c>
      <c r="H1033" s="4" t="s">
        <v>25</v>
      </c>
      <c r="I1033" s="4" t="s">
        <v>156</v>
      </c>
      <c r="J1033" s="3">
        <v>4</v>
      </c>
      <c r="K1033" s="3">
        <v>25</v>
      </c>
      <c r="L1033" s="3">
        <v>16</v>
      </c>
      <c r="M1033" s="3">
        <v>3</v>
      </c>
      <c r="N1033" s="3">
        <v>3</v>
      </c>
      <c r="O1033" s="3">
        <v>3</v>
      </c>
      <c r="P1033" s="3">
        <f t="shared" si="0"/>
        <v>0</v>
      </c>
      <c r="Q1033" s="3">
        <f t="shared" si="1"/>
        <v>72.7272727272727</v>
      </c>
      <c r="R1033" s="3">
        <f t="shared" si="2"/>
        <v>13.6363636363636</v>
      </c>
      <c r="S1033" s="11"/>
    </row>
    <row r="1034" ht="13.5" customHeight="1" spans="1:21">
      <c r="A1034" s="4" t="s">
        <v>27</v>
      </c>
      <c r="B1034" s="3">
        <v>1204</v>
      </c>
      <c r="C1034" s="3">
        <v>7100</v>
      </c>
      <c r="D1034" s="3">
        <v>2</v>
      </c>
      <c r="E1034" s="4" t="s">
        <v>28</v>
      </c>
      <c r="F1034" s="4" t="s">
        <v>29</v>
      </c>
      <c r="G1034" s="4" t="s">
        <v>30</v>
      </c>
      <c r="H1034" s="4" t="s">
        <v>31</v>
      </c>
      <c r="I1034" s="4" t="s">
        <v>156</v>
      </c>
      <c r="J1034" s="3">
        <v>1</v>
      </c>
      <c r="K1034" s="3">
        <v>25</v>
      </c>
      <c r="L1034" s="3">
        <v>2</v>
      </c>
      <c r="M1034" s="3">
        <v>20</v>
      </c>
      <c r="N1034" s="3">
        <v>0</v>
      </c>
      <c r="O1034" s="3">
        <v>3</v>
      </c>
      <c r="P1034" s="3">
        <f t="shared" si="0"/>
        <v>0</v>
      </c>
      <c r="Q1034" s="3">
        <f t="shared" si="1"/>
        <v>8</v>
      </c>
      <c r="R1034" s="3">
        <f t="shared" si="2"/>
        <v>12</v>
      </c>
      <c r="S1034" s="11">
        <f>AVERAGE(Q1034:Q1037)</f>
        <v>23.25</v>
      </c>
      <c r="T1034" s="7">
        <f>AVERAGE(R1034:R1037)</f>
        <v>13</v>
      </c>
      <c r="U1034" s="8">
        <f>(L1034+L1035+L1036+L1037+O1034+O1035+O1036+O1037)/(K1034+K1035+K1036+K1037)*100</f>
        <v>20</v>
      </c>
    </row>
    <row r="1035" ht="13.5" customHeight="1" spans="1:19">
      <c r="A1035" s="4" t="s">
        <v>27</v>
      </c>
      <c r="B1035" s="3">
        <v>1204</v>
      </c>
      <c r="C1035" s="3">
        <v>7100</v>
      </c>
      <c r="D1035" s="3">
        <v>2</v>
      </c>
      <c r="E1035" s="4" t="s">
        <v>28</v>
      </c>
      <c r="F1035" s="4" t="s">
        <v>29</v>
      </c>
      <c r="G1035" s="4" t="s">
        <v>30</v>
      </c>
      <c r="H1035" s="4" t="s">
        <v>31</v>
      </c>
      <c r="I1035" s="4" t="s">
        <v>156</v>
      </c>
      <c r="J1035" s="3">
        <v>2</v>
      </c>
      <c r="K1035" s="3">
        <v>25</v>
      </c>
      <c r="L1035" s="3">
        <v>2</v>
      </c>
      <c r="M1035" s="3">
        <v>6</v>
      </c>
      <c r="N1035" s="3">
        <v>17</v>
      </c>
      <c r="O1035" s="3">
        <v>0</v>
      </c>
      <c r="P1035" s="3">
        <f t="shared" si="0"/>
        <v>0</v>
      </c>
      <c r="Q1035" s="3">
        <f t="shared" si="1"/>
        <v>25</v>
      </c>
      <c r="R1035" s="3">
        <f t="shared" si="2"/>
        <v>0</v>
      </c>
      <c r="S1035" s="11"/>
    </row>
    <row r="1036" ht="13.5" customHeight="1" spans="1:19">
      <c r="A1036" s="4" t="s">
        <v>27</v>
      </c>
      <c r="B1036" s="3">
        <v>1204</v>
      </c>
      <c r="C1036" s="3">
        <v>7100</v>
      </c>
      <c r="D1036" s="3">
        <v>2</v>
      </c>
      <c r="E1036" s="4" t="s">
        <v>28</v>
      </c>
      <c r="F1036" s="4" t="s">
        <v>29</v>
      </c>
      <c r="G1036" s="4" t="s">
        <v>30</v>
      </c>
      <c r="H1036" s="4" t="s">
        <v>31</v>
      </c>
      <c r="I1036" s="4" t="s">
        <v>156</v>
      </c>
      <c r="J1036" s="3">
        <v>3</v>
      </c>
      <c r="K1036" s="3">
        <v>25</v>
      </c>
      <c r="L1036" s="3">
        <v>3</v>
      </c>
      <c r="M1036" s="3">
        <v>6</v>
      </c>
      <c r="N1036" s="3">
        <v>16</v>
      </c>
      <c r="O1036" s="3">
        <v>0</v>
      </c>
      <c r="P1036" s="3">
        <f t="shared" si="0"/>
        <v>0</v>
      </c>
      <c r="Q1036" s="3">
        <f t="shared" si="1"/>
        <v>33.3333333333333</v>
      </c>
      <c r="R1036" s="3">
        <f t="shared" si="2"/>
        <v>0</v>
      </c>
      <c r="S1036" s="11"/>
    </row>
    <row r="1037" ht="13.5" customHeight="1" spans="1:19">
      <c r="A1037" s="4" t="s">
        <v>27</v>
      </c>
      <c r="B1037" s="3">
        <v>1204</v>
      </c>
      <c r="C1037" s="3">
        <v>7100</v>
      </c>
      <c r="D1037" s="3">
        <v>2</v>
      </c>
      <c r="E1037" s="4" t="s">
        <v>28</v>
      </c>
      <c r="F1037" s="4" t="s">
        <v>29</v>
      </c>
      <c r="G1037" s="4" t="s">
        <v>30</v>
      </c>
      <c r="H1037" s="4" t="s">
        <v>31</v>
      </c>
      <c r="I1037" s="4" t="s">
        <v>156</v>
      </c>
      <c r="J1037" s="3">
        <v>4</v>
      </c>
      <c r="K1037" s="3">
        <v>25</v>
      </c>
      <c r="L1037" s="3">
        <v>4</v>
      </c>
      <c r="M1037" s="3">
        <v>5</v>
      </c>
      <c r="N1037" s="3">
        <v>10</v>
      </c>
      <c r="O1037" s="3">
        <v>6</v>
      </c>
      <c r="P1037" s="3">
        <f t="shared" si="0"/>
        <v>0</v>
      </c>
      <c r="Q1037" s="3">
        <f t="shared" si="1"/>
        <v>26.6666666666667</v>
      </c>
      <c r="R1037" s="3">
        <f t="shared" si="2"/>
        <v>40</v>
      </c>
      <c r="S1037" s="11"/>
    </row>
    <row r="1038" ht="13.5" customHeight="1" spans="1:21">
      <c r="A1038" s="4" t="s">
        <v>47</v>
      </c>
      <c r="B1038" s="3">
        <v>1504</v>
      </c>
      <c r="C1038" s="3">
        <v>9859</v>
      </c>
      <c r="D1038" s="3">
        <v>4</v>
      </c>
      <c r="E1038" s="4" t="s">
        <v>22</v>
      </c>
      <c r="F1038" s="4" t="s">
        <v>152</v>
      </c>
      <c r="G1038" s="4" t="s">
        <v>153</v>
      </c>
      <c r="H1038" s="4" t="s">
        <v>25</v>
      </c>
      <c r="I1038" s="4" t="s">
        <v>156</v>
      </c>
      <c r="J1038" s="3">
        <v>1</v>
      </c>
      <c r="K1038" s="3">
        <v>25</v>
      </c>
      <c r="L1038" s="3">
        <v>19</v>
      </c>
      <c r="M1038" s="3">
        <v>3</v>
      </c>
      <c r="N1038" s="3">
        <v>1</v>
      </c>
      <c r="O1038" s="3">
        <v>2</v>
      </c>
      <c r="P1038" s="3">
        <f t="shared" si="0"/>
        <v>0</v>
      </c>
      <c r="Q1038" s="3">
        <f t="shared" si="1"/>
        <v>79.1666666666667</v>
      </c>
      <c r="R1038" s="3">
        <f t="shared" si="2"/>
        <v>8.33333333333333</v>
      </c>
      <c r="S1038" s="11">
        <f>AVERAGE(Q1038:Q1041)</f>
        <v>93.75</v>
      </c>
      <c r="T1038" s="7">
        <f>AVERAGE(R1038:R1041)</f>
        <v>2.08333333333333</v>
      </c>
      <c r="U1038" s="8">
        <f>(L1038+L1039+L1040+L1041+O1038+O1039+O1040+O1041)/(K1038+K1039+K1040+K1041)*100</f>
        <v>93</v>
      </c>
    </row>
    <row r="1039" ht="13.5" customHeight="1" spans="1:19">
      <c r="A1039" s="4" t="s">
        <v>47</v>
      </c>
      <c r="B1039" s="3">
        <v>1504</v>
      </c>
      <c r="C1039" s="3">
        <v>9859</v>
      </c>
      <c r="D1039" s="3">
        <v>4</v>
      </c>
      <c r="E1039" s="4" t="s">
        <v>22</v>
      </c>
      <c r="F1039" s="4" t="s">
        <v>152</v>
      </c>
      <c r="G1039" s="4" t="s">
        <v>153</v>
      </c>
      <c r="H1039" s="4" t="s">
        <v>25</v>
      </c>
      <c r="I1039" s="4" t="s">
        <v>156</v>
      </c>
      <c r="J1039" s="3">
        <v>2</v>
      </c>
      <c r="K1039" s="3">
        <v>25</v>
      </c>
      <c r="L1039" s="3">
        <v>25</v>
      </c>
      <c r="M1039" s="3">
        <v>0</v>
      </c>
      <c r="N1039" s="3">
        <v>0</v>
      </c>
      <c r="O1039" s="3">
        <v>0</v>
      </c>
      <c r="P1039" s="3">
        <f t="shared" si="0"/>
        <v>0</v>
      </c>
      <c r="Q1039" s="3">
        <f t="shared" si="1"/>
        <v>100</v>
      </c>
      <c r="R1039" s="3">
        <f t="shared" si="2"/>
        <v>0</v>
      </c>
      <c r="S1039" s="11"/>
    </row>
    <row r="1040" ht="13.5" customHeight="1" spans="1:19">
      <c r="A1040" s="4" t="s">
        <v>47</v>
      </c>
      <c r="B1040" s="3">
        <v>1504</v>
      </c>
      <c r="C1040" s="3">
        <v>9859</v>
      </c>
      <c r="D1040" s="3">
        <v>4</v>
      </c>
      <c r="E1040" s="4" t="s">
        <v>22</v>
      </c>
      <c r="F1040" s="4" t="s">
        <v>152</v>
      </c>
      <c r="G1040" s="4" t="s">
        <v>153</v>
      </c>
      <c r="H1040" s="4" t="s">
        <v>25</v>
      </c>
      <c r="I1040" s="4" t="s">
        <v>156</v>
      </c>
      <c r="J1040" s="3">
        <v>3</v>
      </c>
      <c r="K1040" s="3">
        <v>25</v>
      </c>
      <c r="L1040" s="3">
        <v>24</v>
      </c>
      <c r="M1040" s="3">
        <v>0</v>
      </c>
      <c r="N1040" s="3">
        <v>1</v>
      </c>
      <c r="O1040" s="3">
        <v>0</v>
      </c>
      <c r="P1040" s="3">
        <f t="shared" si="0"/>
        <v>0</v>
      </c>
      <c r="Q1040" s="3">
        <f t="shared" si="1"/>
        <v>100</v>
      </c>
      <c r="R1040" s="3">
        <f t="shared" si="2"/>
        <v>0</v>
      </c>
      <c r="S1040" s="11"/>
    </row>
    <row r="1041" ht="13.5" customHeight="1" spans="1:19">
      <c r="A1041" s="4" t="s">
        <v>47</v>
      </c>
      <c r="B1041" s="3">
        <v>1504</v>
      </c>
      <c r="C1041" s="3">
        <v>9859</v>
      </c>
      <c r="D1041" s="3">
        <v>4</v>
      </c>
      <c r="E1041" s="4" t="s">
        <v>22</v>
      </c>
      <c r="F1041" s="4" t="s">
        <v>152</v>
      </c>
      <c r="G1041" s="4" t="s">
        <v>153</v>
      </c>
      <c r="H1041" s="4" t="s">
        <v>25</v>
      </c>
      <c r="I1041" s="4" t="s">
        <v>156</v>
      </c>
      <c r="J1041" s="3">
        <v>4</v>
      </c>
      <c r="K1041" s="3">
        <v>25</v>
      </c>
      <c r="L1041" s="3">
        <v>23</v>
      </c>
      <c r="M1041" s="3">
        <v>1</v>
      </c>
      <c r="N1041" s="3">
        <v>1</v>
      </c>
      <c r="O1041" s="3">
        <v>0</v>
      </c>
      <c r="P1041" s="3">
        <f t="shared" si="0"/>
        <v>0</v>
      </c>
      <c r="Q1041" s="3">
        <f t="shared" si="1"/>
        <v>95.8333333333333</v>
      </c>
      <c r="R1041" s="3">
        <f t="shared" si="2"/>
        <v>0</v>
      </c>
      <c r="S1041" s="11"/>
    </row>
    <row r="1042" ht="13.5" customHeight="1" spans="1:21">
      <c r="A1042" s="4" t="s">
        <v>57</v>
      </c>
      <c r="B1042" s="3">
        <v>1847</v>
      </c>
      <c r="C1042" s="3">
        <v>10763</v>
      </c>
      <c r="D1042" s="3">
        <v>1</v>
      </c>
      <c r="E1042" s="4" t="s">
        <v>22</v>
      </c>
      <c r="F1042" s="4" t="s">
        <v>152</v>
      </c>
      <c r="G1042" s="4" t="s">
        <v>170</v>
      </c>
      <c r="H1042" s="4" t="s">
        <v>25</v>
      </c>
      <c r="I1042" s="4" t="s">
        <v>156</v>
      </c>
      <c r="J1042" s="3">
        <v>1</v>
      </c>
      <c r="K1042" s="3">
        <v>20</v>
      </c>
      <c r="L1042" s="3">
        <v>18</v>
      </c>
      <c r="M1042" s="3">
        <v>2</v>
      </c>
      <c r="N1042" s="3">
        <v>0</v>
      </c>
      <c r="O1042" s="3">
        <v>0</v>
      </c>
      <c r="P1042" s="3">
        <f t="shared" si="0"/>
        <v>0</v>
      </c>
      <c r="Q1042" s="3">
        <f t="shared" si="1"/>
        <v>90</v>
      </c>
      <c r="R1042" s="3">
        <f t="shared" si="2"/>
        <v>0</v>
      </c>
      <c r="S1042" s="11">
        <f>AVERAGE(Q1042:Q1045)</f>
        <v>94.5</v>
      </c>
      <c r="T1042" s="7">
        <f>AVERAGE(R1042:R1045)</f>
        <v>0</v>
      </c>
      <c r="U1042" s="8">
        <f>(L1042+L1043+L1044+L1045+O1042+O1043+O1044+O1045)/(K1042+K1043+K1044+K1045)*100</f>
        <v>94.7368421052632</v>
      </c>
    </row>
    <row r="1043" ht="13.5" customHeight="1" spans="1:19">
      <c r="A1043" s="4" t="s">
        <v>57</v>
      </c>
      <c r="B1043" s="3">
        <v>1847</v>
      </c>
      <c r="C1043" s="3">
        <v>10763</v>
      </c>
      <c r="D1043" s="3">
        <v>1</v>
      </c>
      <c r="E1043" s="4" t="s">
        <v>22</v>
      </c>
      <c r="F1043" s="4" t="s">
        <v>152</v>
      </c>
      <c r="G1043" s="4" t="s">
        <v>170</v>
      </c>
      <c r="H1043" s="4" t="s">
        <v>25</v>
      </c>
      <c r="I1043" s="4" t="s">
        <v>156</v>
      </c>
      <c r="J1043" s="3">
        <v>2</v>
      </c>
      <c r="K1043" s="3">
        <v>25</v>
      </c>
      <c r="L1043" s="3">
        <v>23</v>
      </c>
      <c r="M1043" s="3">
        <v>2</v>
      </c>
      <c r="N1043" s="3">
        <v>0</v>
      </c>
      <c r="O1043" s="3">
        <v>0</v>
      </c>
      <c r="P1043" s="3">
        <f t="shared" si="0"/>
        <v>0</v>
      </c>
      <c r="Q1043" s="3">
        <f t="shared" si="1"/>
        <v>92</v>
      </c>
      <c r="R1043" s="3">
        <f t="shared" si="2"/>
        <v>0</v>
      </c>
      <c r="S1043" s="11"/>
    </row>
    <row r="1044" ht="13.5" customHeight="1" spans="1:19">
      <c r="A1044" s="4" t="s">
        <v>57</v>
      </c>
      <c r="B1044" s="3">
        <v>1847</v>
      </c>
      <c r="C1044" s="3">
        <v>10763</v>
      </c>
      <c r="D1044" s="3">
        <v>1</v>
      </c>
      <c r="E1044" s="4" t="s">
        <v>22</v>
      </c>
      <c r="F1044" s="4" t="s">
        <v>152</v>
      </c>
      <c r="G1044" s="4" t="s">
        <v>170</v>
      </c>
      <c r="H1044" s="4" t="s">
        <v>25</v>
      </c>
      <c r="I1044" s="4" t="s">
        <v>156</v>
      </c>
      <c r="J1044" s="3">
        <v>3</v>
      </c>
      <c r="K1044" s="3">
        <v>25</v>
      </c>
      <c r="L1044" s="3">
        <v>24</v>
      </c>
      <c r="M1044" s="3">
        <v>1</v>
      </c>
      <c r="N1044" s="3">
        <v>0</v>
      </c>
      <c r="O1044" s="3">
        <v>0</v>
      </c>
      <c r="P1044" s="3">
        <f t="shared" si="0"/>
        <v>0</v>
      </c>
      <c r="Q1044" s="3">
        <f t="shared" si="1"/>
        <v>96</v>
      </c>
      <c r="R1044" s="3">
        <f t="shared" si="2"/>
        <v>0</v>
      </c>
      <c r="S1044" s="11"/>
    </row>
    <row r="1045" ht="13.5" customHeight="1" spans="1:19">
      <c r="A1045" s="4" t="s">
        <v>57</v>
      </c>
      <c r="B1045" s="3">
        <v>1847</v>
      </c>
      <c r="C1045" s="3">
        <v>10763</v>
      </c>
      <c r="D1045" s="3">
        <v>1</v>
      </c>
      <c r="E1045" s="4" t="s">
        <v>22</v>
      </c>
      <c r="F1045" s="4" t="s">
        <v>152</v>
      </c>
      <c r="G1045" s="4" t="s">
        <v>170</v>
      </c>
      <c r="H1045" s="4" t="s">
        <v>25</v>
      </c>
      <c r="I1045" s="4" t="s">
        <v>156</v>
      </c>
      <c r="J1045" s="3">
        <v>4</v>
      </c>
      <c r="K1045" s="3">
        <v>25</v>
      </c>
      <c r="L1045" s="3">
        <v>25</v>
      </c>
      <c r="M1045" s="3">
        <v>0</v>
      </c>
      <c r="N1045" s="3">
        <v>0</v>
      </c>
      <c r="O1045" s="3">
        <v>0</v>
      </c>
      <c r="P1045" s="3">
        <f t="shared" si="0"/>
        <v>0</v>
      </c>
      <c r="Q1045" s="3">
        <f t="shared" si="1"/>
        <v>100</v>
      </c>
      <c r="R1045" s="3">
        <f t="shared" si="2"/>
        <v>0</v>
      </c>
      <c r="S1045" s="11"/>
    </row>
    <row r="1046" ht="13.5" customHeight="1" spans="1:21">
      <c r="A1046" s="4" t="s">
        <v>46</v>
      </c>
      <c r="B1046" s="3">
        <v>1270</v>
      </c>
      <c r="C1046" s="3">
        <v>8757</v>
      </c>
      <c r="D1046" s="3">
        <v>1</v>
      </c>
      <c r="E1046" s="4" t="s">
        <v>28</v>
      </c>
      <c r="F1046" s="4" t="s">
        <v>29</v>
      </c>
      <c r="G1046" s="4" t="s">
        <v>30</v>
      </c>
      <c r="H1046" s="4" t="s">
        <v>31</v>
      </c>
      <c r="I1046" s="4" t="s">
        <v>156</v>
      </c>
      <c r="J1046" s="3">
        <v>1</v>
      </c>
      <c r="K1046" s="3">
        <v>25</v>
      </c>
      <c r="L1046" s="3">
        <v>6</v>
      </c>
      <c r="M1046" s="3">
        <v>6</v>
      </c>
      <c r="N1046" s="3">
        <v>13</v>
      </c>
      <c r="O1046" s="3">
        <v>0</v>
      </c>
      <c r="P1046" s="3">
        <f t="shared" si="0"/>
        <v>0</v>
      </c>
      <c r="Q1046" s="3">
        <f t="shared" si="1"/>
        <v>50</v>
      </c>
      <c r="R1046" s="3">
        <f t="shared" si="2"/>
        <v>0</v>
      </c>
      <c r="S1046" s="11">
        <f>AVERAGE(Q1046:Q1049)</f>
        <v>54.9062049062049</v>
      </c>
      <c r="T1046" s="7">
        <f>AVERAGE(R1046:R1049)</f>
        <v>17.3340548340549</v>
      </c>
      <c r="U1046" s="8">
        <f>(L1046+L1047+L1048+L1049+O1046+O1047+O1048+O1049)/(K1046+K1047+K1048+K1049)*100</f>
        <v>45</v>
      </c>
    </row>
    <row r="1047" ht="13.5" customHeight="1" spans="1:19">
      <c r="A1047" s="4" t="s">
        <v>46</v>
      </c>
      <c r="B1047" s="3">
        <v>1270</v>
      </c>
      <c r="C1047" s="3">
        <v>8757</v>
      </c>
      <c r="D1047" s="3">
        <v>1</v>
      </c>
      <c r="E1047" s="4" t="s">
        <v>28</v>
      </c>
      <c r="F1047" s="4" t="s">
        <v>29</v>
      </c>
      <c r="G1047" s="4" t="s">
        <v>30</v>
      </c>
      <c r="H1047" s="4" t="s">
        <v>31</v>
      </c>
      <c r="I1047" s="4" t="s">
        <v>156</v>
      </c>
      <c r="J1047" s="3">
        <v>2</v>
      </c>
      <c r="K1047" s="3">
        <v>25</v>
      </c>
      <c r="L1047" s="3">
        <v>13</v>
      </c>
      <c r="M1047" s="3">
        <v>0</v>
      </c>
      <c r="N1047" s="3">
        <v>7</v>
      </c>
      <c r="O1047" s="3">
        <v>5</v>
      </c>
      <c r="P1047" s="3">
        <f t="shared" si="0"/>
        <v>0</v>
      </c>
      <c r="Q1047" s="3">
        <f t="shared" si="1"/>
        <v>72.2222222222222</v>
      </c>
      <c r="R1047" s="3">
        <f t="shared" si="2"/>
        <v>27.7777777777778</v>
      </c>
      <c r="S1047" s="11"/>
    </row>
    <row r="1048" ht="13.5" customHeight="1" spans="1:19">
      <c r="A1048" s="4" t="s">
        <v>46</v>
      </c>
      <c r="B1048" s="3">
        <v>1270</v>
      </c>
      <c r="C1048" s="3">
        <v>8757</v>
      </c>
      <c r="D1048" s="3">
        <v>1</v>
      </c>
      <c r="E1048" s="4" t="s">
        <v>28</v>
      </c>
      <c r="F1048" s="4" t="s">
        <v>29</v>
      </c>
      <c r="G1048" s="4" t="s">
        <v>30</v>
      </c>
      <c r="H1048" s="4" t="s">
        <v>31</v>
      </c>
      <c r="I1048" s="4" t="s">
        <v>156</v>
      </c>
      <c r="J1048" s="3">
        <v>3</v>
      </c>
      <c r="K1048" s="3">
        <v>25</v>
      </c>
      <c r="L1048" s="3">
        <v>9</v>
      </c>
      <c r="M1048" s="3">
        <v>9</v>
      </c>
      <c r="N1048" s="3">
        <v>4</v>
      </c>
      <c r="O1048" s="3">
        <v>3</v>
      </c>
      <c r="P1048" s="3">
        <f t="shared" si="0"/>
        <v>0</v>
      </c>
      <c r="Q1048" s="3">
        <f t="shared" si="1"/>
        <v>42.8571428571429</v>
      </c>
      <c r="R1048" s="3">
        <f t="shared" si="2"/>
        <v>14.2857142857143</v>
      </c>
      <c r="S1048" s="11"/>
    </row>
    <row r="1049" ht="13.5" customHeight="1" spans="1:19">
      <c r="A1049" s="4" t="s">
        <v>46</v>
      </c>
      <c r="B1049" s="3">
        <v>1270</v>
      </c>
      <c r="C1049" s="3">
        <v>8757</v>
      </c>
      <c r="D1049" s="3">
        <v>1</v>
      </c>
      <c r="E1049" s="4" t="s">
        <v>28</v>
      </c>
      <c r="F1049" s="4" t="s">
        <v>29</v>
      </c>
      <c r="G1049" s="4" t="s">
        <v>30</v>
      </c>
      <c r="H1049" s="4" t="s">
        <v>31</v>
      </c>
      <c r="I1049" s="4" t="s">
        <v>156</v>
      </c>
      <c r="J1049" s="3">
        <v>4</v>
      </c>
      <c r="K1049" s="3">
        <v>25</v>
      </c>
      <c r="L1049" s="3">
        <v>6</v>
      </c>
      <c r="M1049" s="3">
        <v>2</v>
      </c>
      <c r="N1049" s="3">
        <v>14</v>
      </c>
      <c r="O1049" s="3">
        <v>3</v>
      </c>
      <c r="P1049" s="3">
        <f t="shared" si="0"/>
        <v>0</v>
      </c>
      <c r="Q1049" s="3">
        <f t="shared" si="1"/>
        <v>54.5454545454545</v>
      </c>
      <c r="R1049" s="3">
        <f t="shared" si="2"/>
        <v>27.2727272727273</v>
      </c>
      <c r="S1049" s="11"/>
    </row>
    <row r="1050" ht="13.5" customHeight="1" spans="1:21">
      <c r="A1050" s="4" t="s">
        <v>120</v>
      </c>
      <c r="B1050" s="3">
        <v>1147</v>
      </c>
      <c r="C1050" s="3">
        <v>7497</v>
      </c>
      <c r="D1050" s="3">
        <v>0.1</v>
      </c>
      <c r="E1050" s="4" t="s">
        <v>33</v>
      </c>
      <c r="F1050" s="4" t="s">
        <v>67</v>
      </c>
      <c r="G1050" s="4" t="s">
        <v>68</v>
      </c>
      <c r="H1050" s="4" t="s">
        <v>40</v>
      </c>
      <c r="I1050" s="4" t="s">
        <v>156</v>
      </c>
      <c r="J1050" s="3">
        <v>1</v>
      </c>
      <c r="K1050" s="3">
        <v>25</v>
      </c>
      <c r="L1050" s="3">
        <v>25</v>
      </c>
      <c r="M1050" s="3">
        <v>0</v>
      </c>
      <c r="N1050" s="3">
        <v>0</v>
      </c>
      <c r="O1050" s="3">
        <v>0</v>
      </c>
      <c r="P1050" s="3">
        <f t="shared" si="0"/>
        <v>0</v>
      </c>
      <c r="Q1050" s="3">
        <f t="shared" si="1"/>
        <v>100</v>
      </c>
      <c r="R1050" s="3">
        <f t="shared" si="2"/>
        <v>0</v>
      </c>
      <c r="S1050" s="11">
        <f>AVERAGE(Q1050:Q1053)</f>
        <v>100</v>
      </c>
      <c r="T1050" s="7">
        <f>AVERAGE(R1050:R1053)</f>
        <v>0</v>
      </c>
      <c r="U1050" s="8">
        <f>(L1050+L1051+L1052+L1053+O1050+O1051+O1052+O1053)/(K1050+K1051+K1052+K1053)*100</f>
        <v>100</v>
      </c>
    </row>
    <row r="1051" ht="13.5" customHeight="1" spans="1:19">
      <c r="A1051" s="4" t="s">
        <v>120</v>
      </c>
      <c r="B1051" s="3">
        <v>1147</v>
      </c>
      <c r="C1051" s="3">
        <v>7497</v>
      </c>
      <c r="D1051" s="3">
        <v>0.1</v>
      </c>
      <c r="E1051" s="4" t="s">
        <v>33</v>
      </c>
      <c r="F1051" s="4" t="s">
        <v>67</v>
      </c>
      <c r="G1051" s="4" t="s">
        <v>68</v>
      </c>
      <c r="H1051" s="4" t="s">
        <v>40</v>
      </c>
      <c r="I1051" s="4" t="s">
        <v>156</v>
      </c>
      <c r="J1051" s="3">
        <v>2</v>
      </c>
      <c r="K1051" s="3">
        <v>25</v>
      </c>
      <c r="L1051" s="3">
        <v>25</v>
      </c>
      <c r="M1051" s="3">
        <v>0</v>
      </c>
      <c r="N1051" s="3">
        <v>0</v>
      </c>
      <c r="O1051" s="3">
        <v>0</v>
      </c>
      <c r="P1051" s="3">
        <f t="shared" si="0"/>
        <v>0</v>
      </c>
      <c r="Q1051" s="3">
        <f t="shared" si="1"/>
        <v>100</v>
      </c>
      <c r="R1051" s="3">
        <f t="shared" si="2"/>
        <v>0</v>
      </c>
      <c r="S1051" s="11"/>
    </row>
    <row r="1052" ht="13.5" customHeight="1" spans="1:19">
      <c r="A1052" s="4" t="s">
        <v>120</v>
      </c>
      <c r="B1052" s="3">
        <v>1147</v>
      </c>
      <c r="C1052" s="3">
        <v>7497</v>
      </c>
      <c r="D1052" s="3">
        <v>0.1</v>
      </c>
      <c r="E1052" s="4" t="s">
        <v>33</v>
      </c>
      <c r="F1052" s="4" t="s">
        <v>67</v>
      </c>
      <c r="G1052" s="4" t="s">
        <v>68</v>
      </c>
      <c r="H1052" s="4" t="s">
        <v>40</v>
      </c>
      <c r="I1052" s="4" t="s">
        <v>156</v>
      </c>
      <c r="J1052" s="3">
        <v>3</v>
      </c>
      <c r="K1052" s="3">
        <v>25</v>
      </c>
      <c r="L1052" s="3">
        <v>25</v>
      </c>
      <c r="M1052" s="3">
        <v>0</v>
      </c>
      <c r="N1052" s="3">
        <v>0</v>
      </c>
      <c r="O1052" s="3">
        <v>0</v>
      </c>
      <c r="P1052" s="3">
        <f t="shared" si="0"/>
        <v>0</v>
      </c>
      <c r="Q1052" s="3">
        <f t="shared" si="1"/>
        <v>100</v>
      </c>
      <c r="R1052" s="3">
        <f t="shared" si="2"/>
        <v>0</v>
      </c>
      <c r="S1052" s="11"/>
    </row>
    <row r="1053" ht="13.5" customHeight="1" spans="1:19">
      <c r="A1053" s="4" t="s">
        <v>120</v>
      </c>
      <c r="B1053" s="3">
        <v>1147</v>
      </c>
      <c r="C1053" s="3">
        <v>7497</v>
      </c>
      <c r="D1053" s="3">
        <v>0.1</v>
      </c>
      <c r="E1053" s="4" t="s">
        <v>33</v>
      </c>
      <c r="F1053" s="4" t="s">
        <v>67</v>
      </c>
      <c r="G1053" s="4" t="s">
        <v>68</v>
      </c>
      <c r="H1053" s="4" t="s">
        <v>40</v>
      </c>
      <c r="I1053" s="4" t="s">
        <v>156</v>
      </c>
      <c r="J1053" s="3">
        <v>4</v>
      </c>
      <c r="K1053" s="3">
        <v>25</v>
      </c>
      <c r="L1053" s="3">
        <v>25</v>
      </c>
      <c r="M1053" s="3">
        <v>0</v>
      </c>
      <c r="N1053" s="3">
        <v>0</v>
      </c>
      <c r="O1053" s="3">
        <v>0</v>
      </c>
      <c r="P1053" s="3">
        <f t="shared" si="0"/>
        <v>0</v>
      </c>
      <c r="Q1053" s="3">
        <f t="shared" si="1"/>
        <v>100</v>
      </c>
      <c r="R1053" s="3">
        <f t="shared" si="2"/>
        <v>0</v>
      </c>
      <c r="S1053" s="11"/>
    </row>
    <row r="1054" ht="13.5" customHeight="1" spans="1:21">
      <c r="A1054" s="4" t="s">
        <v>66</v>
      </c>
      <c r="B1054" s="3">
        <v>1153</v>
      </c>
      <c r="C1054" s="3">
        <v>7684</v>
      </c>
      <c r="D1054" s="3">
        <v>0.1</v>
      </c>
      <c r="E1054" s="4" t="s">
        <v>33</v>
      </c>
      <c r="F1054" s="4" t="s">
        <v>67</v>
      </c>
      <c r="G1054" s="4" t="s">
        <v>68</v>
      </c>
      <c r="H1054" s="4" t="s">
        <v>40</v>
      </c>
      <c r="I1054" s="4" t="s">
        <v>156</v>
      </c>
      <c r="J1054" s="3">
        <v>1</v>
      </c>
      <c r="K1054" s="3">
        <v>25</v>
      </c>
      <c r="L1054" s="3">
        <v>25</v>
      </c>
      <c r="M1054" s="3">
        <v>0</v>
      </c>
      <c r="N1054" s="3">
        <v>0</v>
      </c>
      <c r="O1054" s="3">
        <v>0</v>
      </c>
      <c r="P1054" s="3">
        <f t="shared" si="0"/>
        <v>0</v>
      </c>
      <c r="Q1054" s="3">
        <f t="shared" si="1"/>
        <v>100</v>
      </c>
      <c r="R1054" s="3">
        <f t="shared" si="2"/>
        <v>0</v>
      </c>
      <c r="S1054" s="11">
        <f>AVERAGE(Q1054:Q1057)</f>
        <v>98.9583333333333</v>
      </c>
      <c r="T1054" s="7">
        <f>AVERAGE(R1054:R1057)</f>
        <v>0</v>
      </c>
      <c r="U1054" s="8">
        <f>(L1054+L1055+L1056+L1057+O1054+O1055+O1056+O1057)/(K1054+K1055+K1056+K1057)*100</f>
        <v>97</v>
      </c>
    </row>
    <row r="1055" ht="13.5" customHeight="1" spans="1:19">
      <c r="A1055" s="4" t="s">
        <v>66</v>
      </c>
      <c r="B1055" s="3">
        <v>1153</v>
      </c>
      <c r="C1055" s="3">
        <v>7684</v>
      </c>
      <c r="D1055" s="3">
        <v>0.1</v>
      </c>
      <c r="E1055" s="4" t="s">
        <v>33</v>
      </c>
      <c r="F1055" s="4" t="s">
        <v>67</v>
      </c>
      <c r="G1055" s="4" t="s">
        <v>68</v>
      </c>
      <c r="H1055" s="4" t="s">
        <v>40</v>
      </c>
      <c r="I1055" s="4" t="s">
        <v>156</v>
      </c>
      <c r="J1055" s="3">
        <v>2</v>
      </c>
      <c r="K1055" s="3">
        <v>25</v>
      </c>
      <c r="L1055" s="3">
        <v>25</v>
      </c>
      <c r="M1055" s="3">
        <v>0</v>
      </c>
      <c r="N1055" s="3">
        <v>0</v>
      </c>
      <c r="O1055" s="3">
        <v>0</v>
      </c>
      <c r="P1055" s="3">
        <f t="shared" si="0"/>
        <v>0</v>
      </c>
      <c r="Q1055" s="3">
        <f t="shared" si="1"/>
        <v>100</v>
      </c>
      <c r="R1055" s="3">
        <f t="shared" si="2"/>
        <v>0</v>
      </c>
      <c r="S1055" s="11"/>
    </row>
    <row r="1056" ht="13.5" customHeight="1" spans="1:19">
      <c r="A1056" s="4" t="s">
        <v>66</v>
      </c>
      <c r="B1056" s="3">
        <v>1153</v>
      </c>
      <c r="C1056" s="3">
        <v>7684</v>
      </c>
      <c r="D1056" s="3">
        <v>0.1</v>
      </c>
      <c r="E1056" s="4" t="s">
        <v>33</v>
      </c>
      <c r="F1056" s="4" t="s">
        <v>67</v>
      </c>
      <c r="G1056" s="4" t="s">
        <v>68</v>
      </c>
      <c r="H1056" s="4" t="s">
        <v>40</v>
      </c>
      <c r="I1056" s="4" t="s">
        <v>156</v>
      </c>
      <c r="J1056" s="3">
        <v>3</v>
      </c>
      <c r="K1056" s="3">
        <v>25</v>
      </c>
      <c r="L1056" s="3">
        <v>23</v>
      </c>
      <c r="M1056" s="3">
        <v>1</v>
      </c>
      <c r="N1056" s="3">
        <v>1</v>
      </c>
      <c r="O1056" s="3">
        <v>0</v>
      </c>
      <c r="P1056" s="3">
        <f t="shared" si="0"/>
        <v>0</v>
      </c>
      <c r="Q1056" s="3">
        <f t="shared" si="1"/>
        <v>95.8333333333333</v>
      </c>
      <c r="R1056" s="3">
        <f t="shared" si="2"/>
        <v>0</v>
      </c>
      <c r="S1056" s="11"/>
    </row>
    <row r="1057" ht="13.5" customHeight="1" spans="1:19">
      <c r="A1057" s="4" t="s">
        <v>66</v>
      </c>
      <c r="B1057" s="3">
        <v>1153</v>
      </c>
      <c r="C1057" s="3">
        <v>7684</v>
      </c>
      <c r="D1057" s="3">
        <v>0.1</v>
      </c>
      <c r="E1057" s="4" t="s">
        <v>33</v>
      </c>
      <c r="F1057" s="4" t="s">
        <v>67</v>
      </c>
      <c r="G1057" s="4" t="s">
        <v>68</v>
      </c>
      <c r="H1057" s="4" t="s">
        <v>40</v>
      </c>
      <c r="I1057" s="4" t="s">
        <v>156</v>
      </c>
      <c r="J1057" s="3">
        <v>4</v>
      </c>
      <c r="K1057" s="3">
        <v>25</v>
      </c>
      <c r="L1057" s="3">
        <v>24</v>
      </c>
      <c r="M1057" s="3">
        <v>0</v>
      </c>
      <c r="N1057" s="3">
        <v>1</v>
      </c>
      <c r="O1057" s="3">
        <v>0</v>
      </c>
      <c r="P1057" s="3">
        <f t="shared" si="0"/>
        <v>0</v>
      </c>
      <c r="Q1057" s="3">
        <f t="shared" si="1"/>
        <v>100</v>
      </c>
      <c r="R1057" s="3">
        <f t="shared" si="2"/>
        <v>0</v>
      </c>
      <c r="S1057" s="11"/>
    </row>
    <row r="1058" ht="13.5" customHeight="1" spans="1:21">
      <c r="A1058" s="4" t="s">
        <v>47</v>
      </c>
      <c r="B1058" s="3">
        <v>1504</v>
      </c>
      <c r="C1058" s="3">
        <v>9859</v>
      </c>
      <c r="D1058" s="3">
        <v>0.1</v>
      </c>
      <c r="E1058" s="4" t="s">
        <v>33</v>
      </c>
      <c r="F1058" s="4" t="s">
        <v>67</v>
      </c>
      <c r="G1058" s="4" t="s">
        <v>68</v>
      </c>
      <c r="H1058" s="4" t="s">
        <v>40</v>
      </c>
      <c r="I1058" s="4" t="s">
        <v>156</v>
      </c>
      <c r="J1058" s="3">
        <v>1</v>
      </c>
      <c r="K1058" s="3">
        <v>24</v>
      </c>
      <c r="L1058" s="3">
        <v>24</v>
      </c>
      <c r="M1058" s="3">
        <v>0</v>
      </c>
      <c r="N1058" s="3">
        <v>0</v>
      </c>
      <c r="O1058" s="3">
        <v>0</v>
      </c>
      <c r="P1058" s="3">
        <f t="shared" si="0"/>
        <v>0</v>
      </c>
      <c r="Q1058" s="3">
        <f t="shared" si="1"/>
        <v>100</v>
      </c>
      <c r="R1058" s="3">
        <f t="shared" si="2"/>
        <v>0</v>
      </c>
      <c r="S1058" s="11">
        <f>AVERAGE(Q1058:Q1061)</f>
        <v>96.875</v>
      </c>
      <c r="T1058" s="7">
        <f>AVERAGE(R1058:R1061)</f>
        <v>0</v>
      </c>
      <c r="U1058" s="8">
        <f>(L1058+L1059+L1060+L1061+O1058+O1059+O1060+O1061)/(K1058+K1059+K1060+K1061)*100</f>
        <v>94.9494949494949</v>
      </c>
    </row>
    <row r="1059" ht="13.5" customHeight="1" spans="1:19">
      <c r="A1059" s="4" t="s">
        <v>47</v>
      </c>
      <c r="B1059" s="3">
        <v>1504</v>
      </c>
      <c r="C1059" s="3">
        <v>9859</v>
      </c>
      <c r="D1059" s="3">
        <v>0.1</v>
      </c>
      <c r="E1059" s="4" t="s">
        <v>33</v>
      </c>
      <c r="F1059" s="4" t="s">
        <v>67</v>
      </c>
      <c r="G1059" s="4" t="s">
        <v>68</v>
      </c>
      <c r="H1059" s="4" t="s">
        <v>40</v>
      </c>
      <c r="I1059" s="4" t="s">
        <v>156</v>
      </c>
      <c r="J1059" s="3">
        <v>2</v>
      </c>
      <c r="K1059" s="3">
        <v>25</v>
      </c>
      <c r="L1059" s="3">
        <v>25</v>
      </c>
      <c r="M1059" s="3">
        <v>0</v>
      </c>
      <c r="N1059" s="3">
        <v>0</v>
      </c>
      <c r="O1059" s="3">
        <v>0</v>
      </c>
      <c r="P1059" s="3">
        <f t="shared" si="0"/>
        <v>0</v>
      </c>
      <c r="Q1059" s="3">
        <f t="shared" si="1"/>
        <v>100</v>
      </c>
      <c r="R1059" s="3">
        <f t="shared" si="2"/>
        <v>0</v>
      </c>
      <c r="S1059" s="11"/>
    </row>
    <row r="1060" ht="13.5" customHeight="1" spans="1:19">
      <c r="A1060" s="4" t="s">
        <v>47</v>
      </c>
      <c r="B1060" s="3">
        <v>1504</v>
      </c>
      <c r="C1060" s="3">
        <v>9859</v>
      </c>
      <c r="D1060" s="3">
        <v>0.1</v>
      </c>
      <c r="E1060" s="4" t="s">
        <v>33</v>
      </c>
      <c r="F1060" s="4" t="s">
        <v>67</v>
      </c>
      <c r="G1060" s="4" t="s">
        <v>68</v>
      </c>
      <c r="H1060" s="4" t="s">
        <v>40</v>
      </c>
      <c r="I1060" s="4" t="s">
        <v>156</v>
      </c>
      <c r="J1060" s="3">
        <v>3</v>
      </c>
      <c r="K1060" s="3">
        <v>25</v>
      </c>
      <c r="L1060" s="3">
        <v>22</v>
      </c>
      <c r="M1060" s="3">
        <v>2</v>
      </c>
      <c r="N1060" s="3">
        <v>1</v>
      </c>
      <c r="O1060" s="3">
        <v>0</v>
      </c>
      <c r="P1060" s="3">
        <f t="shared" si="0"/>
        <v>0</v>
      </c>
      <c r="Q1060" s="3">
        <f t="shared" si="1"/>
        <v>91.6666666666667</v>
      </c>
      <c r="R1060" s="3">
        <f t="shared" si="2"/>
        <v>0</v>
      </c>
      <c r="S1060" s="11"/>
    </row>
    <row r="1061" ht="13.5" customHeight="1" spans="1:19">
      <c r="A1061" s="4" t="s">
        <v>47</v>
      </c>
      <c r="B1061" s="3">
        <v>1504</v>
      </c>
      <c r="C1061" s="3">
        <v>9859</v>
      </c>
      <c r="D1061" s="3">
        <v>0.1</v>
      </c>
      <c r="E1061" s="4" t="s">
        <v>33</v>
      </c>
      <c r="F1061" s="4" t="s">
        <v>67</v>
      </c>
      <c r="G1061" s="4" t="s">
        <v>68</v>
      </c>
      <c r="H1061" s="4" t="s">
        <v>40</v>
      </c>
      <c r="I1061" s="4" t="s">
        <v>156</v>
      </c>
      <c r="J1061" s="3">
        <v>4</v>
      </c>
      <c r="K1061" s="3">
        <v>25</v>
      </c>
      <c r="L1061" s="3">
        <v>23</v>
      </c>
      <c r="M1061" s="3">
        <v>1</v>
      </c>
      <c r="N1061" s="3">
        <v>1</v>
      </c>
      <c r="O1061" s="3">
        <v>0</v>
      </c>
      <c r="P1061" s="3">
        <f t="shared" si="0"/>
        <v>0</v>
      </c>
      <c r="Q1061" s="3">
        <f t="shared" si="1"/>
        <v>95.8333333333333</v>
      </c>
      <c r="R1061" s="3">
        <f t="shared" si="2"/>
        <v>0</v>
      </c>
      <c r="S1061" s="11"/>
    </row>
    <row r="1062" ht="13.5" customHeight="1" spans="1:21">
      <c r="A1062" s="4" t="s">
        <v>57</v>
      </c>
      <c r="B1062" s="3">
        <v>1847</v>
      </c>
      <c r="C1062" s="3">
        <v>10763</v>
      </c>
      <c r="D1062" s="3">
        <v>0.1</v>
      </c>
      <c r="E1062" s="4" t="s">
        <v>22</v>
      </c>
      <c r="F1062" s="4" t="s">
        <v>23</v>
      </c>
      <c r="G1062" s="4" t="s">
        <v>24</v>
      </c>
      <c r="H1062" s="4" t="s">
        <v>25</v>
      </c>
      <c r="I1062" s="4" t="s">
        <v>156</v>
      </c>
      <c r="J1062" s="3">
        <v>1</v>
      </c>
      <c r="K1062" s="3">
        <v>25</v>
      </c>
      <c r="L1062" s="3">
        <v>24</v>
      </c>
      <c r="M1062" s="3">
        <v>1</v>
      </c>
      <c r="N1062" s="3">
        <v>0</v>
      </c>
      <c r="O1062" s="3">
        <v>0</v>
      </c>
      <c r="P1062" s="3">
        <f t="shared" si="0"/>
        <v>0</v>
      </c>
      <c r="Q1062" s="3">
        <f t="shared" si="1"/>
        <v>96</v>
      </c>
      <c r="R1062" s="3">
        <f t="shared" si="2"/>
        <v>0</v>
      </c>
      <c r="S1062" s="11">
        <f>AVERAGE(Q1062:Q1065)</f>
        <v>98</v>
      </c>
      <c r="T1062" s="7">
        <f>AVERAGE(R1062:R1065)</f>
        <v>0</v>
      </c>
      <c r="U1062" s="8">
        <f>(L1062+L1063+L1064+L1065+O1062+O1063+O1064+O1065)/(K1062+K1063+K1064+K1065)*100</f>
        <v>98</v>
      </c>
    </row>
    <row r="1063" ht="13.5" customHeight="1" spans="1:19">
      <c r="A1063" s="4" t="s">
        <v>57</v>
      </c>
      <c r="B1063" s="3">
        <v>1847</v>
      </c>
      <c r="C1063" s="3">
        <v>10763</v>
      </c>
      <c r="D1063" s="3">
        <v>0.1</v>
      </c>
      <c r="E1063" s="4" t="s">
        <v>22</v>
      </c>
      <c r="F1063" s="4" t="s">
        <v>23</v>
      </c>
      <c r="G1063" s="4" t="s">
        <v>24</v>
      </c>
      <c r="H1063" s="4" t="s">
        <v>25</v>
      </c>
      <c r="I1063" s="4" t="s">
        <v>156</v>
      </c>
      <c r="J1063" s="3">
        <v>2</v>
      </c>
      <c r="K1063" s="3">
        <v>25</v>
      </c>
      <c r="L1063" s="3">
        <v>25</v>
      </c>
      <c r="M1063" s="3">
        <v>0</v>
      </c>
      <c r="N1063" s="3">
        <v>0</v>
      </c>
      <c r="O1063" s="3">
        <v>0</v>
      </c>
      <c r="P1063" s="3">
        <f t="shared" si="0"/>
        <v>0</v>
      </c>
      <c r="Q1063" s="3">
        <f t="shared" si="1"/>
        <v>100</v>
      </c>
      <c r="R1063" s="3">
        <f t="shared" si="2"/>
        <v>0</v>
      </c>
      <c r="S1063" s="11"/>
    </row>
    <row r="1064" ht="13.5" customHeight="1" spans="1:19">
      <c r="A1064" s="4" t="s">
        <v>57</v>
      </c>
      <c r="B1064" s="3">
        <v>1847</v>
      </c>
      <c r="C1064" s="3">
        <v>10763</v>
      </c>
      <c r="D1064" s="3">
        <v>0.1</v>
      </c>
      <c r="E1064" s="4" t="s">
        <v>22</v>
      </c>
      <c r="F1064" s="4" t="s">
        <v>23</v>
      </c>
      <c r="G1064" s="4" t="s">
        <v>24</v>
      </c>
      <c r="H1064" s="4" t="s">
        <v>25</v>
      </c>
      <c r="I1064" s="4" t="s">
        <v>156</v>
      </c>
      <c r="J1064" s="3">
        <v>3</v>
      </c>
      <c r="K1064" s="3">
        <v>25</v>
      </c>
      <c r="L1064" s="3">
        <v>24</v>
      </c>
      <c r="M1064" s="3">
        <v>1</v>
      </c>
      <c r="N1064" s="3">
        <v>0</v>
      </c>
      <c r="O1064" s="3">
        <v>0</v>
      </c>
      <c r="P1064" s="3">
        <f t="shared" si="0"/>
        <v>0</v>
      </c>
      <c r="Q1064" s="3">
        <f t="shared" si="1"/>
        <v>96</v>
      </c>
      <c r="R1064" s="3">
        <f t="shared" si="2"/>
        <v>0</v>
      </c>
      <c r="S1064" s="11"/>
    </row>
    <row r="1065" ht="13.5" customHeight="1" spans="1:19">
      <c r="A1065" s="4" t="s">
        <v>57</v>
      </c>
      <c r="B1065" s="3">
        <v>1847</v>
      </c>
      <c r="C1065" s="3">
        <v>10763</v>
      </c>
      <c r="D1065" s="3">
        <v>0.1</v>
      </c>
      <c r="E1065" s="4" t="s">
        <v>22</v>
      </c>
      <c r="F1065" s="4" t="s">
        <v>23</v>
      </c>
      <c r="G1065" s="4" t="s">
        <v>24</v>
      </c>
      <c r="H1065" s="4" t="s">
        <v>25</v>
      </c>
      <c r="I1065" s="4" t="s">
        <v>156</v>
      </c>
      <c r="J1065" s="3">
        <v>4</v>
      </c>
      <c r="K1065" s="3">
        <v>25</v>
      </c>
      <c r="L1065" s="3">
        <v>25</v>
      </c>
      <c r="M1065" s="3">
        <v>0</v>
      </c>
      <c r="N1065" s="3">
        <v>0</v>
      </c>
      <c r="O1065" s="3">
        <v>0</v>
      </c>
      <c r="P1065" s="3">
        <f t="shared" si="0"/>
        <v>0</v>
      </c>
      <c r="Q1065" s="3">
        <f t="shared" si="1"/>
        <v>100</v>
      </c>
      <c r="R1065" s="3">
        <f t="shared" si="2"/>
        <v>0</v>
      </c>
      <c r="S1065" s="11"/>
    </row>
    <row r="1066" ht="13.5" customHeight="1" spans="1:21">
      <c r="A1066" s="4" t="s">
        <v>117</v>
      </c>
      <c r="B1066" s="3">
        <v>1001</v>
      </c>
      <c r="C1066" s="3">
        <v>4887</v>
      </c>
      <c r="D1066" s="3">
        <v>1</v>
      </c>
      <c r="E1066" s="4" t="s">
        <v>22</v>
      </c>
      <c r="F1066" s="4" t="s">
        <v>119</v>
      </c>
      <c r="G1066" s="4" t="s">
        <v>119</v>
      </c>
      <c r="H1066" s="4" t="s">
        <v>25</v>
      </c>
      <c r="I1066" s="4" t="s">
        <v>156</v>
      </c>
      <c r="J1066" s="3">
        <v>1</v>
      </c>
      <c r="K1066" s="3">
        <v>25</v>
      </c>
      <c r="L1066" s="3">
        <v>23</v>
      </c>
      <c r="M1066" s="3">
        <v>1</v>
      </c>
      <c r="N1066" s="3">
        <v>1</v>
      </c>
      <c r="O1066" s="3">
        <v>0</v>
      </c>
      <c r="P1066" s="3">
        <f t="shared" si="0"/>
        <v>0</v>
      </c>
      <c r="Q1066" s="3">
        <f t="shared" si="1"/>
        <v>95.8333333333333</v>
      </c>
      <c r="R1066" s="3">
        <f t="shared" si="2"/>
        <v>0</v>
      </c>
      <c r="S1066" s="11">
        <f>AVERAGE(Q1066:Q1069)</f>
        <v>98.9583333333333</v>
      </c>
      <c r="T1066" s="7">
        <f>AVERAGE(R1066:R1069)</f>
        <v>0</v>
      </c>
      <c r="U1066" s="8">
        <f>(L1066+L1067+L1068+L1069+O1066+O1067+O1068+O1069)/(K1066+K1067+K1068+K1069)*100</f>
        <v>98</v>
      </c>
    </row>
    <row r="1067" ht="13.5" customHeight="1" spans="1:19">
      <c r="A1067" s="4" t="s">
        <v>117</v>
      </c>
      <c r="B1067" s="3">
        <v>1001</v>
      </c>
      <c r="C1067" s="3">
        <v>4887</v>
      </c>
      <c r="D1067" s="3">
        <v>1</v>
      </c>
      <c r="E1067" s="4" t="s">
        <v>22</v>
      </c>
      <c r="F1067" s="4" t="s">
        <v>119</v>
      </c>
      <c r="G1067" s="4" t="s">
        <v>119</v>
      </c>
      <c r="H1067" s="4" t="s">
        <v>25</v>
      </c>
      <c r="I1067" s="4" t="s">
        <v>156</v>
      </c>
      <c r="J1067" s="3">
        <v>2</v>
      </c>
      <c r="K1067" s="3">
        <v>25</v>
      </c>
      <c r="L1067" s="3">
        <v>25</v>
      </c>
      <c r="M1067" s="3">
        <v>0</v>
      </c>
      <c r="N1067" s="3">
        <v>0</v>
      </c>
      <c r="O1067" s="3">
        <v>0</v>
      </c>
      <c r="P1067" s="3">
        <f t="shared" si="0"/>
        <v>0</v>
      </c>
      <c r="Q1067" s="3">
        <f t="shared" si="1"/>
        <v>100</v>
      </c>
      <c r="R1067" s="3">
        <f t="shared" si="2"/>
        <v>0</v>
      </c>
      <c r="S1067" s="11"/>
    </row>
    <row r="1068" ht="13.5" customHeight="1" spans="1:19">
      <c r="A1068" s="4" t="s">
        <v>117</v>
      </c>
      <c r="B1068" s="3">
        <v>1001</v>
      </c>
      <c r="C1068" s="3">
        <v>4887</v>
      </c>
      <c r="D1068" s="3">
        <v>1</v>
      </c>
      <c r="E1068" s="4" t="s">
        <v>22</v>
      </c>
      <c r="F1068" s="4" t="s">
        <v>119</v>
      </c>
      <c r="G1068" s="4" t="s">
        <v>119</v>
      </c>
      <c r="H1068" s="4" t="s">
        <v>25</v>
      </c>
      <c r="I1068" s="4" t="s">
        <v>156</v>
      </c>
      <c r="J1068" s="3">
        <v>3</v>
      </c>
      <c r="K1068" s="3">
        <v>25</v>
      </c>
      <c r="L1068" s="3">
        <v>25</v>
      </c>
      <c r="M1068" s="3">
        <v>0</v>
      </c>
      <c r="N1068" s="3">
        <v>0</v>
      </c>
      <c r="O1068" s="3">
        <v>0</v>
      </c>
      <c r="P1068" s="3">
        <f t="shared" si="0"/>
        <v>0</v>
      </c>
      <c r="Q1068" s="3">
        <f t="shared" si="1"/>
        <v>100</v>
      </c>
      <c r="R1068" s="3">
        <f t="shared" si="2"/>
        <v>0</v>
      </c>
      <c r="S1068" s="11"/>
    </row>
    <row r="1069" ht="13.5" customHeight="1" spans="1:19">
      <c r="A1069" s="4" t="s">
        <v>117</v>
      </c>
      <c r="B1069" s="3">
        <v>1001</v>
      </c>
      <c r="C1069" s="3">
        <v>4887</v>
      </c>
      <c r="D1069" s="3">
        <v>1</v>
      </c>
      <c r="E1069" s="4" t="s">
        <v>22</v>
      </c>
      <c r="F1069" s="4" t="s">
        <v>119</v>
      </c>
      <c r="G1069" s="4" t="s">
        <v>119</v>
      </c>
      <c r="H1069" s="4" t="s">
        <v>25</v>
      </c>
      <c r="I1069" s="4" t="s">
        <v>156</v>
      </c>
      <c r="J1069" s="3">
        <v>4</v>
      </c>
      <c r="K1069" s="3">
        <v>25</v>
      </c>
      <c r="L1069" s="3">
        <v>25</v>
      </c>
      <c r="M1069" s="3">
        <v>0</v>
      </c>
      <c r="N1069" s="3">
        <v>0</v>
      </c>
      <c r="O1069" s="3">
        <v>0</v>
      </c>
      <c r="P1069" s="3">
        <f t="shared" si="0"/>
        <v>0</v>
      </c>
      <c r="Q1069" s="3">
        <f t="shared" si="1"/>
        <v>100</v>
      </c>
      <c r="R1069" s="3">
        <f t="shared" si="2"/>
        <v>0</v>
      </c>
      <c r="S1069" s="11"/>
    </row>
    <row r="1070" ht="13.5" customHeight="1" spans="1:21">
      <c r="A1070" s="4" t="s">
        <v>122</v>
      </c>
      <c r="B1070" s="3">
        <v>1017</v>
      </c>
      <c r="C1070" s="3">
        <v>5938</v>
      </c>
      <c r="D1070" s="3">
        <v>0.1</v>
      </c>
      <c r="E1070" s="4" t="s">
        <v>22</v>
      </c>
      <c r="F1070" s="4" t="s">
        <v>51</v>
      </c>
      <c r="G1070" s="4" t="s">
        <v>51</v>
      </c>
      <c r="H1070" s="4" t="s">
        <v>25</v>
      </c>
      <c r="I1070" s="4" t="s">
        <v>156</v>
      </c>
      <c r="J1070" s="3">
        <v>1</v>
      </c>
      <c r="K1070" s="3">
        <v>25</v>
      </c>
      <c r="L1070" s="3">
        <v>25</v>
      </c>
      <c r="M1070" s="3">
        <v>0</v>
      </c>
      <c r="N1070" s="3">
        <v>0</v>
      </c>
      <c r="O1070" s="3">
        <v>0</v>
      </c>
      <c r="P1070" s="3">
        <f t="shared" si="0"/>
        <v>0</v>
      </c>
      <c r="Q1070" s="3">
        <f t="shared" si="1"/>
        <v>100</v>
      </c>
      <c r="R1070" s="3">
        <f t="shared" si="2"/>
        <v>0</v>
      </c>
      <c r="S1070" s="11">
        <f>AVERAGE(Q1070:Q1073)</f>
        <v>99</v>
      </c>
      <c r="T1070" s="7">
        <f>AVERAGE(R1070:R1073)</f>
        <v>1</v>
      </c>
      <c r="U1070" s="8">
        <f>(L1070+L1071+L1072+L1073+O1070+O1071+O1072+O1073)/(K1070+K1071+K1072+K1073)*100</f>
        <v>100</v>
      </c>
    </row>
    <row r="1071" ht="13.5" customHeight="1" spans="1:19">
      <c r="A1071" s="4" t="s">
        <v>122</v>
      </c>
      <c r="B1071" s="3">
        <v>1017</v>
      </c>
      <c r="C1071" s="3">
        <v>5938</v>
      </c>
      <c r="D1071" s="3">
        <v>0.1</v>
      </c>
      <c r="E1071" s="4" t="s">
        <v>22</v>
      </c>
      <c r="F1071" s="4" t="s">
        <v>51</v>
      </c>
      <c r="G1071" s="4" t="s">
        <v>51</v>
      </c>
      <c r="H1071" s="4" t="s">
        <v>25</v>
      </c>
      <c r="I1071" s="4" t="s">
        <v>156</v>
      </c>
      <c r="J1071" s="3">
        <v>2</v>
      </c>
      <c r="K1071" s="3">
        <v>25</v>
      </c>
      <c r="L1071" s="3">
        <v>25</v>
      </c>
      <c r="M1071" s="3">
        <v>0</v>
      </c>
      <c r="N1071" s="3">
        <v>0</v>
      </c>
      <c r="O1071" s="3">
        <v>0</v>
      </c>
      <c r="P1071" s="3">
        <f t="shared" si="0"/>
        <v>0</v>
      </c>
      <c r="Q1071" s="3">
        <f t="shared" si="1"/>
        <v>100</v>
      </c>
      <c r="R1071" s="3">
        <f t="shared" si="2"/>
        <v>0</v>
      </c>
      <c r="S1071" s="11"/>
    </row>
    <row r="1072" ht="13.5" customHeight="1" spans="1:19">
      <c r="A1072" s="4" t="s">
        <v>122</v>
      </c>
      <c r="B1072" s="3">
        <v>1017</v>
      </c>
      <c r="C1072" s="3">
        <v>5938</v>
      </c>
      <c r="D1072" s="3">
        <v>0.1</v>
      </c>
      <c r="E1072" s="4" t="s">
        <v>22</v>
      </c>
      <c r="F1072" s="4" t="s">
        <v>51</v>
      </c>
      <c r="G1072" s="4" t="s">
        <v>51</v>
      </c>
      <c r="H1072" s="4" t="s">
        <v>25</v>
      </c>
      <c r="I1072" s="4" t="s">
        <v>156</v>
      </c>
      <c r="J1072" s="3">
        <v>3</v>
      </c>
      <c r="K1072" s="3">
        <v>25</v>
      </c>
      <c r="L1072" s="3">
        <v>25</v>
      </c>
      <c r="M1072" s="3">
        <v>0</v>
      </c>
      <c r="N1072" s="3">
        <v>0</v>
      </c>
      <c r="O1072" s="3">
        <v>0</v>
      </c>
      <c r="P1072" s="3">
        <f t="shared" si="0"/>
        <v>0</v>
      </c>
      <c r="Q1072" s="3">
        <f t="shared" si="1"/>
        <v>100</v>
      </c>
      <c r="R1072" s="3">
        <f t="shared" si="2"/>
        <v>0</v>
      </c>
      <c r="S1072" s="11"/>
    </row>
    <row r="1073" ht="13.5" customHeight="1" spans="1:19">
      <c r="A1073" s="4" t="s">
        <v>122</v>
      </c>
      <c r="B1073" s="3">
        <v>1017</v>
      </c>
      <c r="C1073" s="3">
        <v>5938</v>
      </c>
      <c r="D1073" s="3">
        <v>0.1</v>
      </c>
      <c r="E1073" s="4" t="s">
        <v>22</v>
      </c>
      <c r="F1073" s="4" t="s">
        <v>51</v>
      </c>
      <c r="G1073" s="4" t="s">
        <v>51</v>
      </c>
      <c r="H1073" s="4" t="s">
        <v>25</v>
      </c>
      <c r="I1073" s="4" t="s">
        <v>156</v>
      </c>
      <c r="J1073" s="3">
        <v>4</v>
      </c>
      <c r="K1073" s="3">
        <v>25</v>
      </c>
      <c r="L1073" s="3">
        <v>24</v>
      </c>
      <c r="M1073" s="3">
        <v>0</v>
      </c>
      <c r="N1073" s="3">
        <v>0</v>
      </c>
      <c r="O1073" s="3">
        <v>1</v>
      </c>
      <c r="P1073" s="3">
        <f t="shared" si="0"/>
        <v>0</v>
      </c>
      <c r="Q1073" s="3">
        <f t="shared" si="1"/>
        <v>96</v>
      </c>
      <c r="R1073" s="3">
        <f t="shared" si="2"/>
        <v>4</v>
      </c>
      <c r="S1073" s="11"/>
    </row>
    <row r="1074" ht="13.5" customHeight="1" spans="1:21">
      <c r="A1074" s="4" t="s">
        <v>47</v>
      </c>
      <c r="B1074" s="3">
        <v>1504</v>
      </c>
      <c r="C1074" s="3">
        <v>9859</v>
      </c>
      <c r="D1074" s="3">
        <v>0.1</v>
      </c>
      <c r="E1074" s="4" t="s">
        <v>22</v>
      </c>
      <c r="F1074" s="4" t="s">
        <v>171</v>
      </c>
      <c r="G1074" s="4" t="s">
        <v>172</v>
      </c>
      <c r="H1074" s="4" t="s">
        <v>25</v>
      </c>
      <c r="I1074" s="4" t="s">
        <v>156</v>
      </c>
      <c r="J1074" s="3">
        <v>1</v>
      </c>
      <c r="K1074" s="3">
        <v>25</v>
      </c>
      <c r="L1074" s="3">
        <v>24</v>
      </c>
      <c r="M1074" s="3">
        <v>1</v>
      </c>
      <c r="N1074" s="3">
        <v>0</v>
      </c>
      <c r="O1074" s="3">
        <v>0</v>
      </c>
      <c r="P1074" s="3">
        <f t="shared" si="0"/>
        <v>0</v>
      </c>
      <c r="Q1074" s="3">
        <f t="shared" si="1"/>
        <v>96</v>
      </c>
      <c r="R1074" s="3">
        <f t="shared" si="2"/>
        <v>0</v>
      </c>
      <c r="S1074" s="11">
        <f>AVERAGE(Q1074:Q1077)</f>
        <v>98</v>
      </c>
      <c r="T1074" s="7">
        <f>AVERAGE(R1074:R1077)</f>
        <v>0</v>
      </c>
      <c r="U1074" s="8">
        <f>(L1074+L1075+L1076+L1077+O1074+O1075+O1076+O1077)/(K1074+K1075+K1076+K1077)*100</f>
        <v>98</v>
      </c>
    </row>
    <row r="1075" ht="13.5" customHeight="1" spans="1:19">
      <c r="A1075" s="4" t="s">
        <v>47</v>
      </c>
      <c r="B1075" s="3">
        <v>1504</v>
      </c>
      <c r="C1075" s="3">
        <v>9859</v>
      </c>
      <c r="D1075" s="3">
        <v>0.1</v>
      </c>
      <c r="E1075" s="4" t="s">
        <v>22</v>
      </c>
      <c r="F1075" s="4" t="s">
        <v>171</v>
      </c>
      <c r="G1075" s="4" t="s">
        <v>172</v>
      </c>
      <c r="H1075" s="4" t="s">
        <v>25</v>
      </c>
      <c r="I1075" s="4" t="s">
        <v>156</v>
      </c>
      <c r="J1075" s="3">
        <v>2</v>
      </c>
      <c r="K1075" s="3">
        <v>25</v>
      </c>
      <c r="L1075" s="3">
        <v>25</v>
      </c>
      <c r="M1075" s="3">
        <v>0</v>
      </c>
      <c r="N1075" s="3">
        <v>0</v>
      </c>
      <c r="O1075" s="3">
        <v>0</v>
      </c>
      <c r="P1075" s="3">
        <f t="shared" si="0"/>
        <v>0</v>
      </c>
      <c r="Q1075" s="3">
        <f t="shared" si="1"/>
        <v>100</v>
      </c>
      <c r="R1075" s="3">
        <f t="shared" si="2"/>
        <v>0</v>
      </c>
      <c r="S1075" s="11"/>
    </row>
    <row r="1076" ht="13.5" customHeight="1" spans="1:19">
      <c r="A1076" s="4" t="s">
        <v>47</v>
      </c>
      <c r="B1076" s="3">
        <v>1504</v>
      </c>
      <c r="C1076" s="3">
        <v>9859</v>
      </c>
      <c r="D1076" s="3">
        <v>0.1</v>
      </c>
      <c r="E1076" s="4" t="s">
        <v>22</v>
      </c>
      <c r="F1076" s="4" t="s">
        <v>171</v>
      </c>
      <c r="G1076" s="4" t="s">
        <v>172</v>
      </c>
      <c r="H1076" s="4" t="s">
        <v>25</v>
      </c>
      <c r="I1076" s="4" t="s">
        <v>156</v>
      </c>
      <c r="J1076" s="3">
        <v>3</v>
      </c>
      <c r="K1076" s="3">
        <v>25</v>
      </c>
      <c r="L1076" s="3">
        <v>25</v>
      </c>
      <c r="M1076" s="3">
        <v>0</v>
      </c>
      <c r="N1076" s="3">
        <v>0</v>
      </c>
      <c r="O1076" s="3">
        <v>0</v>
      </c>
      <c r="P1076" s="3">
        <f t="shared" si="0"/>
        <v>0</v>
      </c>
      <c r="Q1076" s="3">
        <f t="shared" si="1"/>
        <v>100</v>
      </c>
      <c r="R1076" s="3">
        <f t="shared" si="2"/>
        <v>0</v>
      </c>
      <c r="S1076" s="11"/>
    </row>
    <row r="1077" ht="13.5" customHeight="1" spans="1:19">
      <c r="A1077" s="4" t="s">
        <v>47</v>
      </c>
      <c r="B1077" s="3">
        <v>1504</v>
      </c>
      <c r="C1077" s="3">
        <v>9859</v>
      </c>
      <c r="D1077" s="3">
        <v>0.1</v>
      </c>
      <c r="E1077" s="4" t="s">
        <v>22</v>
      </c>
      <c r="F1077" s="4" t="s">
        <v>171</v>
      </c>
      <c r="G1077" s="4" t="s">
        <v>172</v>
      </c>
      <c r="H1077" s="4" t="s">
        <v>25</v>
      </c>
      <c r="I1077" s="4" t="s">
        <v>156</v>
      </c>
      <c r="J1077" s="3">
        <v>4</v>
      </c>
      <c r="K1077" s="3">
        <v>25</v>
      </c>
      <c r="L1077" s="3">
        <v>24</v>
      </c>
      <c r="M1077" s="3">
        <v>1</v>
      </c>
      <c r="N1077" s="3">
        <v>0</v>
      </c>
      <c r="O1077" s="3">
        <v>0</v>
      </c>
      <c r="P1077" s="3">
        <f t="shared" si="0"/>
        <v>0</v>
      </c>
      <c r="Q1077" s="3">
        <f t="shared" si="1"/>
        <v>96</v>
      </c>
      <c r="R1077" s="3">
        <f t="shared" si="2"/>
        <v>0</v>
      </c>
      <c r="S1077" s="11"/>
    </row>
    <row r="1078" ht="13.5" customHeight="1" spans="1:21">
      <c r="A1078" s="4" t="s">
        <v>77</v>
      </c>
      <c r="B1078" s="3">
        <v>1746</v>
      </c>
      <c r="C1078" s="3">
        <v>10331</v>
      </c>
      <c r="D1078" s="3">
        <v>0.1</v>
      </c>
      <c r="E1078" s="4" t="s">
        <v>22</v>
      </c>
      <c r="F1078" s="4" t="s">
        <v>119</v>
      </c>
      <c r="G1078" s="4" t="s">
        <v>119</v>
      </c>
      <c r="H1078" s="4" t="s">
        <v>25</v>
      </c>
      <c r="I1078" s="4" t="s">
        <v>156</v>
      </c>
      <c r="J1078" s="3">
        <v>1</v>
      </c>
      <c r="K1078" s="3">
        <v>25</v>
      </c>
      <c r="L1078" s="3">
        <v>25</v>
      </c>
      <c r="M1078" s="3">
        <v>0</v>
      </c>
      <c r="N1078" s="3">
        <v>0</v>
      </c>
      <c r="O1078" s="3">
        <v>0</v>
      </c>
      <c r="P1078" s="3">
        <f t="shared" si="0"/>
        <v>0</v>
      </c>
      <c r="Q1078" s="3">
        <f t="shared" si="1"/>
        <v>100</v>
      </c>
      <c r="R1078" s="3">
        <f t="shared" si="2"/>
        <v>0</v>
      </c>
      <c r="S1078" s="11">
        <f>AVERAGE(Q1078:Q1081)</f>
        <v>97.9583333333333</v>
      </c>
      <c r="T1078" s="7">
        <f>AVERAGE(R1078:R1081)</f>
        <v>0</v>
      </c>
      <c r="U1078" s="8">
        <f>(L1078+L1079+L1080+L1081+O1078+O1079+O1080+O1081)/(K1078+K1079+K1080+K1081)*100</f>
        <v>97</v>
      </c>
    </row>
    <row r="1079" ht="13.5" customHeight="1" spans="1:19">
      <c r="A1079" s="4" t="s">
        <v>77</v>
      </c>
      <c r="B1079" s="3">
        <v>1746</v>
      </c>
      <c r="C1079" s="3">
        <v>10331</v>
      </c>
      <c r="D1079" s="3">
        <v>0.1</v>
      </c>
      <c r="E1079" s="4" t="s">
        <v>22</v>
      </c>
      <c r="F1079" s="4" t="s">
        <v>119</v>
      </c>
      <c r="G1079" s="4" t="s">
        <v>119</v>
      </c>
      <c r="H1079" s="4" t="s">
        <v>25</v>
      </c>
      <c r="I1079" s="4" t="s">
        <v>156</v>
      </c>
      <c r="J1079" s="3">
        <v>2</v>
      </c>
      <c r="K1079" s="3">
        <v>25</v>
      </c>
      <c r="L1079" s="3">
        <v>25</v>
      </c>
      <c r="M1079" s="3">
        <v>0</v>
      </c>
      <c r="N1079" s="3">
        <v>0</v>
      </c>
      <c r="O1079" s="3">
        <v>0</v>
      </c>
      <c r="P1079" s="3">
        <f t="shared" si="0"/>
        <v>0</v>
      </c>
      <c r="Q1079" s="3">
        <f t="shared" si="1"/>
        <v>100</v>
      </c>
      <c r="R1079" s="3">
        <f t="shared" si="2"/>
        <v>0</v>
      </c>
      <c r="S1079" s="11"/>
    </row>
    <row r="1080" ht="13.5" customHeight="1" spans="1:19">
      <c r="A1080" s="4" t="s">
        <v>77</v>
      </c>
      <c r="B1080" s="3">
        <v>1746</v>
      </c>
      <c r="C1080" s="3">
        <v>10331</v>
      </c>
      <c r="D1080" s="3">
        <v>0.1</v>
      </c>
      <c r="E1080" s="4" t="s">
        <v>22</v>
      </c>
      <c r="F1080" s="4" t="s">
        <v>119</v>
      </c>
      <c r="G1080" s="4" t="s">
        <v>119</v>
      </c>
      <c r="H1080" s="4" t="s">
        <v>25</v>
      </c>
      <c r="I1080" s="4" t="s">
        <v>156</v>
      </c>
      <c r="J1080" s="3">
        <v>3</v>
      </c>
      <c r="K1080" s="3">
        <v>25</v>
      </c>
      <c r="L1080" s="3">
        <v>23</v>
      </c>
      <c r="M1080" s="3">
        <v>1</v>
      </c>
      <c r="N1080" s="3">
        <v>1</v>
      </c>
      <c r="O1080" s="3">
        <v>0</v>
      </c>
      <c r="P1080" s="3">
        <f t="shared" si="0"/>
        <v>0</v>
      </c>
      <c r="Q1080" s="3">
        <f t="shared" si="1"/>
        <v>95.8333333333333</v>
      </c>
      <c r="R1080" s="3">
        <f t="shared" si="2"/>
        <v>0</v>
      </c>
      <c r="S1080" s="11"/>
    </row>
    <row r="1081" ht="13.5" customHeight="1" spans="1:19">
      <c r="A1081" s="4" t="s">
        <v>77</v>
      </c>
      <c r="B1081" s="3">
        <v>1746</v>
      </c>
      <c r="C1081" s="3">
        <v>10331</v>
      </c>
      <c r="D1081" s="3">
        <v>0.1</v>
      </c>
      <c r="E1081" s="4" t="s">
        <v>22</v>
      </c>
      <c r="F1081" s="4" t="s">
        <v>119</v>
      </c>
      <c r="G1081" s="4" t="s">
        <v>119</v>
      </c>
      <c r="H1081" s="4" t="s">
        <v>25</v>
      </c>
      <c r="I1081" s="4" t="s">
        <v>156</v>
      </c>
      <c r="J1081" s="3">
        <v>4</v>
      </c>
      <c r="K1081" s="3">
        <v>25</v>
      </c>
      <c r="L1081" s="3">
        <v>24</v>
      </c>
      <c r="M1081" s="3">
        <v>1</v>
      </c>
      <c r="N1081" s="3">
        <v>0</v>
      </c>
      <c r="O1081" s="3">
        <v>0</v>
      </c>
      <c r="P1081" s="3">
        <f t="shared" si="0"/>
        <v>0</v>
      </c>
      <c r="Q1081" s="3">
        <f t="shared" si="1"/>
        <v>96</v>
      </c>
      <c r="R1081" s="3">
        <f t="shared" si="2"/>
        <v>0</v>
      </c>
      <c r="S1081" s="11"/>
    </row>
    <row r="1082" ht="13.5" customHeight="1" spans="1:21">
      <c r="A1082" s="4" t="s">
        <v>63</v>
      </c>
      <c r="B1082" s="3">
        <v>1020</v>
      </c>
      <c r="C1082" s="3">
        <v>5331</v>
      </c>
      <c r="D1082" s="3">
        <v>0.1</v>
      </c>
      <c r="E1082" s="4" t="s">
        <v>22</v>
      </c>
      <c r="F1082" s="4" t="s">
        <v>116</v>
      </c>
      <c r="G1082" s="4" t="s">
        <v>116</v>
      </c>
      <c r="H1082" s="4" t="s">
        <v>40</v>
      </c>
      <c r="I1082" s="4" t="s">
        <v>156</v>
      </c>
      <c r="J1082" s="3">
        <v>1</v>
      </c>
      <c r="K1082" s="3">
        <v>25</v>
      </c>
      <c r="L1082" s="3">
        <v>0</v>
      </c>
      <c r="M1082" s="3">
        <v>0</v>
      </c>
      <c r="N1082" s="3">
        <v>0</v>
      </c>
      <c r="O1082" s="3">
        <v>25</v>
      </c>
      <c r="P1082" s="3">
        <f t="shared" si="0"/>
        <v>0</v>
      </c>
      <c r="Q1082" s="3">
        <f t="shared" si="1"/>
        <v>0</v>
      </c>
      <c r="R1082" s="3">
        <f t="shared" si="2"/>
        <v>100</v>
      </c>
      <c r="S1082" s="11">
        <f>AVERAGE(Q1082:Q1085)</f>
        <v>10</v>
      </c>
      <c r="T1082" s="7">
        <f>AVERAGE(R1082:R1085)</f>
        <v>90</v>
      </c>
      <c r="U1082" s="8">
        <f>(L1082+L1083+L1084+L1085+O1082+O1083+O1084+O1085)/(K1082+K1083+K1084+K1085)*100</f>
        <v>100</v>
      </c>
    </row>
    <row r="1083" ht="13.5" customHeight="1" spans="1:19">
      <c r="A1083" s="4" t="s">
        <v>63</v>
      </c>
      <c r="B1083" s="3">
        <v>1020</v>
      </c>
      <c r="C1083" s="3">
        <v>5331</v>
      </c>
      <c r="D1083" s="3">
        <v>0.1</v>
      </c>
      <c r="E1083" s="4" t="s">
        <v>22</v>
      </c>
      <c r="F1083" s="4" t="s">
        <v>116</v>
      </c>
      <c r="G1083" s="4" t="s">
        <v>116</v>
      </c>
      <c r="H1083" s="4" t="s">
        <v>40</v>
      </c>
      <c r="I1083" s="4" t="s">
        <v>156</v>
      </c>
      <c r="J1083" s="3">
        <v>2</v>
      </c>
      <c r="K1083" s="3">
        <v>25</v>
      </c>
      <c r="L1083" s="3">
        <v>6</v>
      </c>
      <c r="M1083" s="3">
        <v>0</v>
      </c>
      <c r="N1083" s="3">
        <v>0</v>
      </c>
      <c r="O1083" s="3">
        <v>19</v>
      </c>
      <c r="P1083" s="3">
        <f t="shared" si="0"/>
        <v>0</v>
      </c>
      <c r="Q1083" s="3">
        <f t="shared" si="1"/>
        <v>24</v>
      </c>
      <c r="R1083" s="3">
        <f t="shared" si="2"/>
        <v>76</v>
      </c>
      <c r="S1083" s="11"/>
    </row>
    <row r="1084" ht="13.5" customHeight="1" spans="1:19">
      <c r="A1084" s="4" t="s">
        <v>63</v>
      </c>
      <c r="B1084" s="3">
        <v>1020</v>
      </c>
      <c r="C1084" s="3">
        <v>5331</v>
      </c>
      <c r="D1084" s="3">
        <v>0.1</v>
      </c>
      <c r="E1084" s="4" t="s">
        <v>22</v>
      </c>
      <c r="F1084" s="4" t="s">
        <v>116</v>
      </c>
      <c r="G1084" s="4" t="s">
        <v>116</v>
      </c>
      <c r="H1084" s="4" t="s">
        <v>40</v>
      </c>
      <c r="I1084" s="4" t="s">
        <v>156</v>
      </c>
      <c r="J1084" s="3">
        <v>3</v>
      </c>
      <c r="K1084" s="3">
        <v>25</v>
      </c>
      <c r="L1084" s="3">
        <v>2</v>
      </c>
      <c r="M1084" s="3">
        <v>0</v>
      </c>
      <c r="N1084" s="3">
        <v>0</v>
      </c>
      <c r="O1084" s="3">
        <v>23</v>
      </c>
      <c r="P1084" s="3">
        <f t="shared" si="0"/>
        <v>0</v>
      </c>
      <c r="Q1084" s="3">
        <f t="shared" si="1"/>
        <v>8</v>
      </c>
      <c r="R1084" s="3">
        <f t="shared" si="2"/>
        <v>92</v>
      </c>
      <c r="S1084" s="11"/>
    </row>
    <row r="1085" ht="13.5" customHeight="1" spans="1:19">
      <c r="A1085" s="4" t="s">
        <v>63</v>
      </c>
      <c r="B1085" s="3">
        <v>1020</v>
      </c>
      <c r="C1085" s="3">
        <v>5331</v>
      </c>
      <c r="D1085" s="3">
        <v>0.1</v>
      </c>
      <c r="E1085" s="4" t="s">
        <v>22</v>
      </c>
      <c r="F1085" s="4" t="s">
        <v>116</v>
      </c>
      <c r="G1085" s="4" t="s">
        <v>116</v>
      </c>
      <c r="H1085" s="4" t="s">
        <v>40</v>
      </c>
      <c r="I1085" s="4" t="s">
        <v>156</v>
      </c>
      <c r="J1085" s="3">
        <v>4</v>
      </c>
      <c r="K1085" s="3">
        <v>25</v>
      </c>
      <c r="L1085" s="3">
        <v>2</v>
      </c>
      <c r="M1085" s="3">
        <v>0</v>
      </c>
      <c r="N1085" s="3">
        <v>0</v>
      </c>
      <c r="O1085" s="3">
        <v>23</v>
      </c>
      <c r="P1085" s="3">
        <f t="shared" si="0"/>
        <v>0</v>
      </c>
      <c r="Q1085" s="3">
        <f t="shared" si="1"/>
        <v>8</v>
      </c>
      <c r="R1085" s="3">
        <f t="shared" si="2"/>
        <v>92</v>
      </c>
      <c r="S1085" s="11"/>
    </row>
    <row r="1086" ht="13.5" customHeight="1" spans="1:21">
      <c r="A1086" s="4" t="s">
        <v>121</v>
      </c>
      <c r="B1086" s="3">
        <v>1017</v>
      </c>
      <c r="C1086" s="3">
        <v>5556</v>
      </c>
      <c r="D1086" s="3">
        <v>1</v>
      </c>
      <c r="E1086" s="4" t="s">
        <v>22</v>
      </c>
      <c r="F1086" s="4" t="s">
        <v>116</v>
      </c>
      <c r="G1086" s="4" t="s">
        <v>116</v>
      </c>
      <c r="H1086" s="4" t="s">
        <v>40</v>
      </c>
      <c r="I1086" s="4" t="s">
        <v>156</v>
      </c>
      <c r="J1086" s="3">
        <v>1</v>
      </c>
      <c r="K1086" s="3">
        <v>25</v>
      </c>
      <c r="L1086" s="3">
        <v>5</v>
      </c>
      <c r="M1086" s="3">
        <v>0</v>
      </c>
      <c r="N1086" s="3">
        <v>0</v>
      </c>
      <c r="O1086" s="3">
        <v>20</v>
      </c>
      <c r="P1086" s="3">
        <f t="shared" si="0"/>
        <v>0</v>
      </c>
      <c r="Q1086" s="3">
        <f t="shared" si="1"/>
        <v>20</v>
      </c>
      <c r="R1086" s="3">
        <f t="shared" si="2"/>
        <v>80</v>
      </c>
      <c r="S1086" s="11">
        <f>AVERAGE(Q1086:Q1089)</f>
        <v>15.3977272727273</v>
      </c>
      <c r="T1086" s="7">
        <f>AVERAGE(R1086:R1089)</f>
        <v>84.6022727272727</v>
      </c>
      <c r="U1086" s="8">
        <f>(L1086+L1087+L1088+L1089+O1086+O1087+O1088+O1089)/(K1086+K1087+K1088+K1089)*100</f>
        <v>96</v>
      </c>
    </row>
    <row r="1087" ht="13.5" customHeight="1" spans="1:19">
      <c r="A1087" s="4" t="s">
        <v>121</v>
      </c>
      <c r="B1087" s="3">
        <v>1017</v>
      </c>
      <c r="C1087" s="3">
        <v>5556</v>
      </c>
      <c r="D1087" s="3">
        <v>1</v>
      </c>
      <c r="E1087" s="4" t="s">
        <v>22</v>
      </c>
      <c r="F1087" s="4" t="s">
        <v>116</v>
      </c>
      <c r="G1087" s="4" t="s">
        <v>116</v>
      </c>
      <c r="H1087" s="4" t="s">
        <v>40</v>
      </c>
      <c r="I1087" s="4" t="s">
        <v>156</v>
      </c>
      <c r="J1087" s="3">
        <v>2</v>
      </c>
      <c r="K1087" s="3">
        <v>25</v>
      </c>
      <c r="L1087" s="3">
        <v>2</v>
      </c>
      <c r="M1087" s="3">
        <v>0</v>
      </c>
      <c r="N1087" s="3">
        <v>3</v>
      </c>
      <c r="O1087" s="3">
        <v>20</v>
      </c>
      <c r="P1087" s="3">
        <f t="shared" si="0"/>
        <v>0</v>
      </c>
      <c r="Q1087" s="3">
        <f t="shared" si="1"/>
        <v>9.09090909090909</v>
      </c>
      <c r="R1087" s="3">
        <f t="shared" si="2"/>
        <v>90.9090909090909</v>
      </c>
      <c r="S1087" s="11"/>
    </row>
    <row r="1088" ht="13.5" customHeight="1" spans="1:19">
      <c r="A1088" s="4" t="s">
        <v>121</v>
      </c>
      <c r="B1088" s="3">
        <v>1017</v>
      </c>
      <c r="C1088" s="3">
        <v>5556</v>
      </c>
      <c r="D1088" s="3">
        <v>1</v>
      </c>
      <c r="E1088" s="4" t="s">
        <v>22</v>
      </c>
      <c r="F1088" s="4" t="s">
        <v>116</v>
      </c>
      <c r="G1088" s="4" t="s">
        <v>116</v>
      </c>
      <c r="H1088" s="4" t="s">
        <v>40</v>
      </c>
      <c r="I1088" s="4" t="s">
        <v>156</v>
      </c>
      <c r="J1088" s="3">
        <v>3</v>
      </c>
      <c r="K1088" s="3">
        <v>25</v>
      </c>
      <c r="L1088" s="3">
        <v>5</v>
      </c>
      <c r="M1088" s="3">
        <v>0</v>
      </c>
      <c r="N1088" s="3">
        <v>0</v>
      </c>
      <c r="O1088" s="3">
        <v>20</v>
      </c>
      <c r="P1088" s="3">
        <f t="shared" si="0"/>
        <v>0</v>
      </c>
      <c r="Q1088" s="3">
        <f t="shared" si="1"/>
        <v>20</v>
      </c>
      <c r="R1088" s="3">
        <f t="shared" si="2"/>
        <v>80</v>
      </c>
      <c r="S1088" s="11"/>
    </row>
    <row r="1089" ht="13.5" customHeight="1" spans="1:19">
      <c r="A1089" s="4" t="s">
        <v>121</v>
      </c>
      <c r="B1089" s="3">
        <v>1017</v>
      </c>
      <c r="C1089" s="3">
        <v>5556</v>
      </c>
      <c r="D1089" s="3">
        <v>1</v>
      </c>
      <c r="E1089" s="4" t="s">
        <v>22</v>
      </c>
      <c r="F1089" s="4" t="s">
        <v>116</v>
      </c>
      <c r="G1089" s="4" t="s">
        <v>116</v>
      </c>
      <c r="H1089" s="4" t="s">
        <v>40</v>
      </c>
      <c r="I1089" s="4" t="s">
        <v>156</v>
      </c>
      <c r="J1089" s="3">
        <v>4</v>
      </c>
      <c r="K1089" s="3">
        <v>25</v>
      </c>
      <c r="L1089" s="3">
        <v>3</v>
      </c>
      <c r="M1089" s="3">
        <v>0</v>
      </c>
      <c r="N1089" s="3">
        <v>1</v>
      </c>
      <c r="O1089" s="3">
        <v>21</v>
      </c>
      <c r="P1089" s="3">
        <f t="shared" si="0"/>
        <v>0</v>
      </c>
      <c r="Q1089" s="3">
        <f t="shared" si="1"/>
        <v>12.5</v>
      </c>
      <c r="R1089" s="3">
        <f t="shared" si="2"/>
        <v>87.5</v>
      </c>
      <c r="S1089" s="11"/>
    </row>
    <row r="1090" ht="13.5" customHeight="1" spans="1:21">
      <c r="A1090" s="4" t="s">
        <v>121</v>
      </c>
      <c r="B1090" s="3">
        <v>1017</v>
      </c>
      <c r="C1090" s="3">
        <v>5556</v>
      </c>
      <c r="D1090" s="3">
        <v>4</v>
      </c>
      <c r="E1090" s="4" t="s">
        <v>33</v>
      </c>
      <c r="F1090" s="4" t="s">
        <v>110</v>
      </c>
      <c r="G1090" s="4" t="s">
        <v>111</v>
      </c>
      <c r="H1090" s="4" t="s">
        <v>40</v>
      </c>
      <c r="I1090" s="4" t="s">
        <v>156</v>
      </c>
      <c r="J1090" s="3">
        <v>1</v>
      </c>
      <c r="K1090" s="3">
        <v>25</v>
      </c>
      <c r="L1090" s="3">
        <v>20</v>
      </c>
      <c r="M1090" s="3">
        <v>2</v>
      </c>
      <c r="N1090" s="3">
        <v>3</v>
      </c>
      <c r="O1090" s="3">
        <v>0</v>
      </c>
      <c r="P1090" s="3">
        <f t="shared" si="0"/>
        <v>0</v>
      </c>
      <c r="Q1090" s="3">
        <f t="shared" si="1"/>
        <v>90.9090909090909</v>
      </c>
      <c r="R1090" s="3">
        <f t="shared" si="2"/>
        <v>0</v>
      </c>
      <c r="S1090" s="11">
        <f>AVERAGE(Q1090:Q1093)</f>
        <v>96.6403162055336</v>
      </c>
      <c r="T1090" s="7">
        <f>AVERAGE(R1090:R1093)</f>
        <v>0</v>
      </c>
      <c r="U1090" s="8">
        <f>(L1090+L1091+L1092+L1093+O1090+O1091+O1092+O1093)/(K1090+K1091+K1092+K1093)*100</f>
        <v>90</v>
      </c>
    </row>
    <row r="1091" ht="13.5" customHeight="1" spans="1:19">
      <c r="A1091" s="4" t="s">
        <v>121</v>
      </c>
      <c r="B1091" s="3">
        <v>1017</v>
      </c>
      <c r="C1091" s="3">
        <v>5556</v>
      </c>
      <c r="D1091" s="3">
        <v>4</v>
      </c>
      <c r="E1091" s="4" t="s">
        <v>33</v>
      </c>
      <c r="F1091" s="4" t="s">
        <v>110</v>
      </c>
      <c r="G1091" s="4" t="s">
        <v>111</v>
      </c>
      <c r="H1091" s="4" t="s">
        <v>40</v>
      </c>
      <c r="I1091" s="4" t="s">
        <v>156</v>
      </c>
      <c r="J1091" s="3">
        <v>2</v>
      </c>
      <c r="K1091" s="3">
        <v>25</v>
      </c>
      <c r="L1091" s="3">
        <v>24</v>
      </c>
      <c r="M1091" s="3">
        <v>0</v>
      </c>
      <c r="N1091" s="3">
        <v>1</v>
      </c>
      <c r="O1091" s="3">
        <v>0</v>
      </c>
      <c r="P1091" s="3">
        <f t="shared" si="0"/>
        <v>0</v>
      </c>
      <c r="Q1091" s="3">
        <f t="shared" si="1"/>
        <v>100</v>
      </c>
      <c r="R1091" s="3">
        <f t="shared" si="2"/>
        <v>0</v>
      </c>
      <c r="S1091" s="11"/>
    </row>
    <row r="1092" ht="13.5" customHeight="1" spans="1:19">
      <c r="A1092" s="4" t="s">
        <v>121</v>
      </c>
      <c r="B1092" s="3">
        <v>1017</v>
      </c>
      <c r="C1092" s="3">
        <v>5556</v>
      </c>
      <c r="D1092" s="3">
        <v>4</v>
      </c>
      <c r="E1092" s="4" t="s">
        <v>33</v>
      </c>
      <c r="F1092" s="4" t="s">
        <v>110</v>
      </c>
      <c r="G1092" s="4" t="s">
        <v>111</v>
      </c>
      <c r="H1092" s="4" t="s">
        <v>40</v>
      </c>
      <c r="I1092" s="4" t="s">
        <v>156</v>
      </c>
      <c r="J1092" s="3">
        <v>3</v>
      </c>
      <c r="K1092" s="3">
        <v>25</v>
      </c>
      <c r="L1092" s="3">
        <v>22</v>
      </c>
      <c r="M1092" s="3">
        <v>1</v>
      </c>
      <c r="N1092" s="3">
        <v>2</v>
      </c>
      <c r="O1092" s="3">
        <v>0</v>
      </c>
      <c r="P1092" s="3">
        <f t="shared" si="0"/>
        <v>0</v>
      </c>
      <c r="Q1092" s="3">
        <f t="shared" si="1"/>
        <v>95.6521739130435</v>
      </c>
      <c r="R1092" s="3">
        <f t="shared" si="2"/>
        <v>0</v>
      </c>
      <c r="S1092" s="11"/>
    </row>
    <row r="1093" ht="13.5" customHeight="1" spans="1:19">
      <c r="A1093" s="4" t="s">
        <v>121</v>
      </c>
      <c r="B1093" s="3">
        <v>1017</v>
      </c>
      <c r="C1093" s="3">
        <v>5556</v>
      </c>
      <c r="D1093" s="3">
        <v>4</v>
      </c>
      <c r="E1093" s="4" t="s">
        <v>33</v>
      </c>
      <c r="F1093" s="4" t="s">
        <v>110</v>
      </c>
      <c r="G1093" s="4" t="s">
        <v>111</v>
      </c>
      <c r="H1093" s="4" t="s">
        <v>40</v>
      </c>
      <c r="I1093" s="4" t="s">
        <v>156</v>
      </c>
      <c r="J1093" s="3">
        <v>4</v>
      </c>
      <c r="K1093" s="3">
        <v>25</v>
      </c>
      <c r="L1093" s="3">
        <v>24</v>
      </c>
      <c r="M1093" s="3">
        <v>0</v>
      </c>
      <c r="N1093" s="3">
        <v>1</v>
      </c>
      <c r="O1093" s="3">
        <v>0</v>
      </c>
      <c r="P1093" s="3">
        <f t="shared" si="0"/>
        <v>0</v>
      </c>
      <c r="Q1093" s="3">
        <f t="shared" si="1"/>
        <v>100</v>
      </c>
      <c r="R1093" s="3">
        <f t="shared" si="2"/>
        <v>0</v>
      </c>
      <c r="S1093" s="11"/>
    </row>
    <row r="1094" ht="13.5" customHeight="1" spans="1:21">
      <c r="A1094" s="4" t="s">
        <v>57</v>
      </c>
      <c r="B1094" s="3">
        <v>1847</v>
      </c>
      <c r="C1094" s="3">
        <v>10763</v>
      </c>
      <c r="D1094" s="3">
        <v>0.1</v>
      </c>
      <c r="E1094" s="4" t="s">
        <v>22</v>
      </c>
      <c r="F1094" s="4" t="s">
        <v>126</v>
      </c>
      <c r="G1094" s="4" t="s">
        <v>127</v>
      </c>
      <c r="H1094" s="4" t="s">
        <v>25</v>
      </c>
      <c r="I1094" s="4" t="s">
        <v>156</v>
      </c>
      <c r="J1094" s="3">
        <v>1</v>
      </c>
      <c r="K1094" s="3">
        <v>25</v>
      </c>
      <c r="L1094" s="3">
        <v>20</v>
      </c>
      <c r="M1094" s="3">
        <v>3</v>
      </c>
      <c r="N1094" s="3">
        <v>2</v>
      </c>
      <c r="O1094" s="3">
        <v>0</v>
      </c>
      <c r="P1094" s="3">
        <f t="shared" si="0"/>
        <v>0</v>
      </c>
      <c r="Q1094" s="3">
        <f t="shared" si="1"/>
        <v>86.9565217391304</v>
      </c>
      <c r="R1094" s="3">
        <f t="shared" si="2"/>
        <v>0</v>
      </c>
      <c r="S1094" s="11">
        <f>AVERAGE(Q1094:Q1097)</f>
        <v>91.3819875776397</v>
      </c>
      <c r="T1094" s="7">
        <f>AVERAGE(R1094:R1097)</f>
        <v>0</v>
      </c>
      <c r="U1094" s="8">
        <f>(L1094+L1095+L1096+L1097+O1094+O1095+O1096+O1097)/(K1094+K1095+K1096+K1097)*100</f>
        <v>84</v>
      </c>
    </row>
    <row r="1095" ht="13.5" customHeight="1" spans="1:19">
      <c r="A1095" s="4" t="s">
        <v>57</v>
      </c>
      <c r="B1095" s="3">
        <v>1847</v>
      </c>
      <c r="C1095" s="3">
        <v>10763</v>
      </c>
      <c r="D1095" s="3">
        <v>0.1</v>
      </c>
      <c r="E1095" s="4" t="s">
        <v>22</v>
      </c>
      <c r="F1095" s="4" t="s">
        <v>126</v>
      </c>
      <c r="G1095" s="4" t="s">
        <v>127</v>
      </c>
      <c r="H1095" s="4" t="s">
        <v>25</v>
      </c>
      <c r="I1095" s="4" t="s">
        <v>156</v>
      </c>
      <c r="J1095" s="3">
        <v>2</v>
      </c>
      <c r="K1095" s="3">
        <v>25</v>
      </c>
      <c r="L1095" s="3">
        <v>22</v>
      </c>
      <c r="M1095" s="3">
        <v>2</v>
      </c>
      <c r="N1095" s="3">
        <v>1</v>
      </c>
      <c r="O1095" s="3">
        <v>0</v>
      </c>
      <c r="P1095" s="3">
        <f t="shared" si="0"/>
        <v>0</v>
      </c>
      <c r="Q1095" s="3">
        <f t="shared" si="1"/>
        <v>91.6666666666667</v>
      </c>
      <c r="R1095" s="3">
        <f t="shared" si="2"/>
        <v>0</v>
      </c>
      <c r="S1095" s="11"/>
    </row>
    <row r="1096" ht="13.5" customHeight="1" spans="1:19">
      <c r="A1096" s="4" t="s">
        <v>57</v>
      </c>
      <c r="B1096" s="3">
        <v>1847</v>
      </c>
      <c r="C1096" s="3">
        <v>10763</v>
      </c>
      <c r="D1096" s="3">
        <v>0.1</v>
      </c>
      <c r="E1096" s="4" t="s">
        <v>22</v>
      </c>
      <c r="F1096" s="4" t="s">
        <v>126</v>
      </c>
      <c r="G1096" s="4" t="s">
        <v>127</v>
      </c>
      <c r="H1096" s="4" t="s">
        <v>25</v>
      </c>
      <c r="I1096" s="4" t="s">
        <v>156</v>
      </c>
      <c r="J1096" s="3">
        <v>3</v>
      </c>
      <c r="K1096" s="3">
        <v>25</v>
      </c>
      <c r="L1096" s="3">
        <v>22</v>
      </c>
      <c r="M1096" s="3">
        <v>2</v>
      </c>
      <c r="N1096" s="3">
        <v>1</v>
      </c>
      <c r="O1096" s="3">
        <v>0</v>
      </c>
      <c r="P1096" s="3">
        <f t="shared" si="0"/>
        <v>0</v>
      </c>
      <c r="Q1096" s="3">
        <f t="shared" si="1"/>
        <v>91.6666666666667</v>
      </c>
      <c r="R1096" s="3">
        <f t="shared" si="2"/>
        <v>0</v>
      </c>
      <c r="S1096" s="11"/>
    </row>
    <row r="1097" ht="13.5" customHeight="1" spans="1:19">
      <c r="A1097" s="4" t="s">
        <v>57</v>
      </c>
      <c r="B1097" s="3">
        <v>1847</v>
      </c>
      <c r="C1097" s="3">
        <v>10763</v>
      </c>
      <c r="D1097" s="3">
        <v>0.1</v>
      </c>
      <c r="E1097" s="4" t="s">
        <v>22</v>
      </c>
      <c r="F1097" s="4" t="s">
        <v>126</v>
      </c>
      <c r="G1097" s="4" t="s">
        <v>127</v>
      </c>
      <c r="H1097" s="4" t="s">
        <v>25</v>
      </c>
      <c r="I1097" s="4" t="s">
        <v>156</v>
      </c>
      <c r="J1097" s="3">
        <v>4</v>
      </c>
      <c r="K1097" s="3">
        <v>25</v>
      </c>
      <c r="L1097" s="3">
        <v>20</v>
      </c>
      <c r="M1097" s="3">
        <v>1</v>
      </c>
      <c r="N1097" s="3">
        <v>4</v>
      </c>
      <c r="O1097" s="3">
        <v>0</v>
      </c>
      <c r="P1097" s="3">
        <f t="shared" si="0"/>
        <v>0</v>
      </c>
      <c r="Q1097" s="3">
        <f t="shared" si="1"/>
        <v>95.2380952380952</v>
      </c>
      <c r="R1097" s="3">
        <f t="shared" si="2"/>
        <v>0</v>
      </c>
      <c r="S1097" s="11"/>
    </row>
    <row r="1098" ht="13.5" customHeight="1" spans="1:21">
      <c r="A1098" s="4" t="s">
        <v>46</v>
      </c>
      <c r="B1098" s="3">
        <v>1270</v>
      </c>
      <c r="C1098" s="3">
        <v>8757</v>
      </c>
      <c r="D1098" s="3">
        <v>0.1</v>
      </c>
      <c r="E1098" s="4" t="s">
        <v>33</v>
      </c>
      <c r="F1098" s="4" t="s">
        <v>123</v>
      </c>
      <c r="G1098" s="4" t="s">
        <v>124</v>
      </c>
      <c r="H1098" s="4" t="s">
        <v>40</v>
      </c>
      <c r="I1098" s="4" t="s">
        <v>156</v>
      </c>
      <c r="J1098" s="3">
        <v>1</v>
      </c>
      <c r="K1098" s="3">
        <v>25</v>
      </c>
      <c r="L1098" s="3">
        <v>17</v>
      </c>
      <c r="M1098" s="3">
        <v>2</v>
      </c>
      <c r="N1098" s="3">
        <v>5</v>
      </c>
      <c r="O1098" s="3">
        <v>1</v>
      </c>
      <c r="P1098" s="3">
        <f t="shared" si="0"/>
        <v>0</v>
      </c>
      <c r="Q1098" s="3">
        <f t="shared" si="1"/>
        <v>85</v>
      </c>
      <c r="R1098" s="3">
        <f t="shared" si="2"/>
        <v>5</v>
      </c>
      <c r="S1098" s="11">
        <f>AVERAGE(Q1098:Q1101)</f>
        <v>83.2371794871795</v>
      </c>
      <c r="T1098" s="7">
        <f>AVERAGE(R1098:R1101)</f>
        <v>14.2628205128205</v>
      </c>
      <c r="U1098" s="8">
        <f>(L1098+L1099+L1100+L1101+O1098+O1099+O1100+O1101)/(K1098+K1099+K1100+K1101)*100</f>
        <v>64</v>
      </c>
    </row>
    <row r="1099" ht="13.5" customHeight="1" spans="1:19">
      <c r="A1099" s="4" t="s">
        <v>46</v>
      </c>
      <c r="B1099" s="3">
        <v>1270</v>
      </c>
      <c r="C1099" s="3">
        <v>8757</v>
      </c>
      <c r="D1099" s="3">
        <v>0.1</v>
      </c>
      <c r="E1099" s="4" t="s">
        <v>33</v>
      </c>
      <c r="F1099" s="4" t="s">
        <v>123</v>
      </c>
      <c r="G1099" s="4" t="s">
        <v>124</v>
      </c>
      <c r="H1099" s="4" t="s">
        <v>40</v>
      </c>
      <c r="I1099" s="4" t="s">
        <v>156</v>
      </c>
      <c r="J1099" s="3">
        <v>2</v>
      </c>
      <c r="K1099" s="3">
        <v>25</v>
      </c>
      <c r="L1099" s="3">
        <v>12</v>
      </c>
      <c r="M1099" s="3">
        <v>0</v>
      </c>
      <c r="N1099" s="3">
        <v>10</v>
      </c>
      <c r="O1099" s="3">
        <v>3</v>
      </c>
      <c r="P1099" s="3">
        <f t="shared" si="0"/>
        <v>0</v>
      </c>
      <c r="Q1099" s="3">
        <f t="shared" si="1"/>
        <v>80</v>
      </c>
      <c r="R1099" s="3">
        <f t="shared" si="2"/>
        <v>20</v>
      </c>
      <c r="S1099" s="11"/>
    </row>
    <row r="1100" ht="13.5" customHeight="1" spans="1:19">
      <c r="A1100" s="4" t="s">
        <v>46</v>
      </c>
      <c r="B1100" s="3">
        <v>1270</v>
      </c>
      <c r="C1100" s="3">
        <v>8757</v>
      </c>
      <c r="D1100" s="3">
        <v>0.1</v>
      </c>
      <c r="E1100" s="4" t="s">
        <v>33</v>
      </c>
      <c r="F1100" s="4" t="s">
        <v>123</v>
      </c>
      <c r="G1100" s="4" t="s">
        <v>124</v>
      </c>
      <c r="H1100" s="4" t="s">
        <v>40</v>
      </c>
      <c r="I1100" s="4" t="s">
        <v>156</v>
      </c>
      <c r="J1100" s="3">
        <v>3</v>
      </c>
      <c r="K1100" s="3">
        <v>25</v>
      </c>
      <c r="L1100" s="3">
        <v>15</v>
      </c>
      <c r="M1100" s="3">
        <v>0</v>
      </c>
      <c r="N1100" s="3">
        <v>7</v>
      </c>
      <c r="O1100" s="3">
        <v>3</v>
      </c>
      <c r="P1100" s="3">
        <f t="shared" si="0"/>
        <v>0</v>
      </c>
      <c r="Q1100" s="3">
        <f t="shared" si="1"/>
        <v>83.3333333333333</v>
      </c>
      <c r="R1100" s="3">
        <f t="shared" si="2"/>
        <v>16.6666666666667</v>
      </c>
      <c r="S1100" s="11"/>
    </row>
    <row r="1101" ht="13.5" customHeight="1" spans="1:19">
      <c r="A1101" s="4" t="s">
        <v>46</v>
      </c>
      <c r="B1101" s="3">
        <v>1270</v>
      </c>
      <c r="C1101" s="3">
        <v>8757</v>
      </c>
      <c r="D1101" s="3">
        <v>0.1</v>
      </c>
      <c r="E1101" s="4" t="s">
        <v>33</v>
      </c>
      <c r="F1101" s="4" t="s">
        <v>123</v>
      </c>
      <c r="G1101" s="4" t="s">
        <v>124</v>
      </c>
      <c r="H1101" s="4" t="s">
        <v>40</v>
      </c>
      <c r="I1101" s="4" t="s">
        <v>156</v>
      </c>
      <c r="J1101" s="3">
        <v>4</v>
      </c>
      <c r="K1101" s="3">
        <v>25</v>
      </c>
      <c r="L1101" s="3">
        <v>11</v>
      </c>
      <c r="M1101" s="3">
        <v>0</v>
      </c>
      <c r="N1101" s="3">
        <v>12</v>
      </c>
      <c r="O1101" s="3">
        <v>2</v>
      </c>
      <c r="P1101" s="3">
        <f t="shared" si="0"/>
        <v>0</v>
      </c>
      <c r="Q1101" s="3">
        <f t="shared" si="1"/>
        <v>84.6153846153846</v>
      </c>
      <c r="R1101" s="3">
        <f t="shared" si="2"/>
        <v>15.3846153846154</v>
      </c>
      <c r="S1101" s="11"/>
    </row>
    <row r="1102" ht="13.5" customHeight="1" spans="1:21">
      <c r="A1102" s="4" t="s">
        <v>36</v>
      </c>
      <c r="B1102" s="3">
        <v>1294</v>
      </c>
      <c r="C1102" s="3">
        <v>8842</v>
      </c>
      <c r="D1102" s="3">
        <v>0.1</v>
      </c>
      <c r="E1102" s="4" t="s">
        <v>33</v>
      </c>
      <c r="F1102" s="4" t="s">
        <v>110</v>
      </c>
      <c r="G1102" s="4" t="s">
        <v>111</v>
      </c>
      <c r="H1102" s="4" t="s">
        <v>40</v>
      </c>
      <c r="I1102" s="4" t="s">
        <v>156</v>
      </c>
      <c r="J1102" s="3">
        <v>1</v>
      </c>
      <c r="K1102" s="3">
        <v>25</v>
      </c>
      <c r="L1102" s="3">
        <v>23</v>
      </c>
      <c r="M1102" s="3">
        <v>0</v>
      </c>
      <c r="N1102" s="3">
        <v>2</v>
      </c>
      <c r="O1102" s="3">
        <v>0</v>
      </c>
      <c r="P1102" s="3">
        <f t="shared" si="0"/>
        <v>0</v>
      </c>
      <c r="Q1102" s="3">
        <f t="shared" si="1"/>
        <v>100</v>
      </c>
      <c r="R1102" s="3">
        <f t="shared" si="2"/>
        <v>0</v>
      </c>
      <c r="S1102" s="11">
        <f>AVERAGE(Q1102:Q1105)</f>
        <v>92.75</v>
      </c>
      <c r="T1102" s="7">
        <f>AVERAGE(R1102:R1105)</f>
        <v>5</v>
      </c>
      <c r="U1102" s="8">
        <f>(L1102+L1103+L1104+L1105+O1102+O1103+O1104+O1105)/(K1102+K1103+K1104+K1105)*100</f>
        <v>84</v>
      </c>
    </row>
    <row r="1103" ht="13.5" customHeight="1" spans="1:19">
      <c r="A1103" s="4" t="s">
        <v>36</v>
      </c>
      <c r="B1103" s="3">
        <v>1294</v>
      </c>
      <c r="C1103" s="3">
        <v>8842</v>
      </c>
      <c r="D1103" s="3">
        <v>0.1</v>
      </c>
      <c r="E1103" s="4" t="s">
        <v>33</v>
      </c>
      <c r="F1103" s="4" t="s">
        <v>110</v>
      </c>
      <c r="G1103" s="4" t="s">
        <v>111</v>
      </c>
      <c r="H1103" s="4" t="s">
        <v>40</v>
      </c>
      <c r="I1103" s="4" t="s">
        <v>156</v>
      </c>
      <c r="J1103" s="3">
        <v>2</v>
      </c>
      <c r="K1103" s="3">
        <v>25</v>
      </c>
      <c r="L1103" s="3">
        <v>18</v>
      </c>
      <c r="M1103" s="3">
        <v>0</v>
      </c>
      <c r="N1103" s="3">
        <v>7</v>
      </c>
      <c r="O1103" s="3">
        <v>0</v>
      </c>
      <c r="P1103" s="3">
        <f t="shared" si="0"/>
        <v>0</v>
      </c>
      <c r="Q1103" s="3">
        <f t="shared" si="1"/>
        <v>100</v>
      </c>
      <c r="R1103" s="3">
        <f t="shared" si="2"/>
        <v>0</v>
      </c>
      <c r="S1103" s="11"/>
    </row>
    <row r="1104" ht="13.5" customHeight="1" spans="1:19">
      <c r="A1104" s="4" t="s">
        <v>36</v>
      </c>
      <c r="B1104" s="3">
        <v>1294</v>
      </c>
      <c r="C1104" s="3">
        <v>8842</v>
      </c>
      <c r="D1104" s="3">
        <v>0.1</v>
      </c>
      <c r="E1104" s="4" t="s">
        <v>33</v>
      </c>
      <c r="F1104" s="4" t="s">
        <v>110</v>
      </c>
      <c r="G1104" s="4" t="s">
        <v>111</v>
      </c>
      <c r="H1104" s="4" t="s">
        <v>40</v>
      </c>
      <c r="I1104" s="4" t="s">
        <v>156</v>
      </c>
      <c r="J1104" s="3">
        <v>3</v>
      </c>
      <c r="K1104" s="3">
        <v>25</v>
      </c>
      <c r="L1104" s="3">
        <v>19</v>
      </c>
      <c r="M1104" s="3">
        <v>1</v>
      </c>
      <c r="N1104" s="3">
        <v>0</v>
      </c>
      <c r="O1104" s="3">
        <v>5</v>
      </c>
      <c r="P1104" s="3">
        <f t="shared" si="0"/>
        <v>0</v>
      </c>
      <c r="Q1104" s="3">
        <f t="shared" si="1"/>
        <v>76</v>
      </c>
      <c r="R1104" s="3">
        <f t="shared" si="2"/>
        <v>20</v>
      </c>
      <c r="S1104" s="11"/>
    </row>
    <row r="1105" ht="13.5" customHeight="1" spans="1:19">
      <c r="A1105" s="4" t="s">
        <v>36</v>
      </c>
      <c r="B1105" s="3">
        <v>1294</v>
      </c>
      <c r="C1105" s="3">
        <v>8842</v>
      </c>
      <c r="D1105" s="3">
        <v>0.1</v>
      </c>
      <c r="E1105" s="4" t="s">
        <v>33</v>
      </c>
      <c r="F1105" s="4" t="s">
        <v>110</v>
      </c>
      <c r="G1105" s="4" t="s">
        <v>111</v>
      </c>
      <c r="H1105" s="4" t="s">
        <v>40</v>
      </c>
      <c r="I1105" s="4" t="s">
        <v>156</v>
      </c>
      <c r="J1105" s="3">
        <v>4</v>
      </c>
      <c r="K1105" s="3">
        <v>25</v>
      </c>
      <c r="L1105" s="3">
        <v>19</v>
      </c>
      <c r="M1105" s="3">
        <v>1</v>
      </c>
      <c r="N1105" s="3">
        <v>5</v>
      </c>
      <c r="O1105" s="3">
        <v>0</v>
      </c>
      <c r="P1105" s="3">
        <f t="shared" si="0"/>
        <v>0</v>
      </c>
      <c r="Q1105" s="3">
        <f t="shared" si="1"/>
        <v>95</v>
      </c>
      <c r="R1105" s="3">
        <f t="shared" si="2"/>
        <v>0</v>
      </c>
      <c r="S1105" s="11"/>
    </row>
    <row r="1106" ht="13.5" customHeight="1" spans="1:21">
      <c r="A1106" s="4" t="s">
        <v>85</v>
      </c>
      <c r="B1106" s="3">
        <v>1167</v>
      </c>
      <c r="C1106" s="3">
        <v>7918</v>
      </c>
      <c r="D1106" s="3">
        <v>0.1</v>
      </c>
      <c r="E1106" s="4" t="s">
        <v>33</v>
      </c>
      <c r="F1106" s="4" t="s">
        <v>123</v>
      </c>
      <c r="G1106" s="4" t="s">
        <v>124</v>
      </c>
      <c r="H1106" s="4" t="s">
        <v>40</v>
      </c>
      <c r="I1106" s="4" t="s">
        <v>156</v>
      </c>
      <c r="J1106" s="3">
        <v>1</v>
      </c>
      <c r="K1106" s="3">
        <v>25</v>
      </c>
      <c r="L1106" s="3">
        <v>20</v>
      </c>
      <c r="M1106" s="3">
        <v>1</v>
      </c>
      <c r="N1106" s="3">
        <v>4</v>
      </c>
      <c r="O1106" s="3">
        <v>0</v>
      </c>
      <c r="P1106" s="3">
        <f t="shared" si="0"/>
        <v>0</v>
      </c>
      <c r="Q1106" s="3">
        <f t="shared" si="1"/>
        <v>95.2380952380952</v>
      </c>
      <c r="R1106" s="3">
        <f t="shared" si="2"/>
        <v>0</v>
      </c>
      <c r="S1106" s="11">
        <f>AVERAGE(Q1106:Q1109)</f>
        <v>74.8885836385836</v>
      </c>
      <c r="T1106" s="7">
        <f>AVERAGE(R1106:R1109)</f>
        <v>19.4978632478633</v>
      </c>
      <c r="U1106" s="8">
        <f>(L1106+L1107+L1108+L1109+O1106+O1107+O1108+O1109)/(K1106+K1107+K1108+K1109)*100</f>
        <v>68</v>
      </c>
    </row>
    <row r="1107" ht="13.5" customHeight="1" spans="1:19">
      <c r="A1107" s="4" t="s">
        <v>85</v>
      </c>
      <c r="B1107" s="3">
        <v>1167</v>
      </c>
      <c r="C1107" s="3">
        <v>7918</v>
      </c>
      <c r="D1107" s="3">
        <v>0.1</v>
      </c>
      <c r="E1107" s="4" t="s">
        <v>33</v>
      </c>
      <c r="F1107" s="4" t="s">
        <v>123</v>
      </c>
      <c r="G1107" s="4" t="s">
        <v>124</v>
      </c>
      <c r="H1107" s="4" t="s">
        <v>40</v>
      </c>
      <c r="I1107" s="4" t="s">
        <v>156</v>
      </c>
      <c r="J1107" s="3">
        <v>2</v>
      </c>
      <c r="K1107" s="3">
        <v>25</v>
      </c>
      <c r="L1107" s="3">
        <v>13</v>
      </c>
      <c r="M1107" s="3">
        <v>2</v>
      </c>
      <c r="N1107" s="3">
        <v>5</v>
      </c>
      <c r="O1107" s="3">
        <v>5</v>
      </c>
      <c r="P1107" s="3">
        <f t="shared" si="0"/>
        <v>0</v>
      </c>
      <c r="Q1107" s="3">
        <f t="shared" si="1"/>
        <v>65</v>
      </c>
      <c r="R1107" s="3">
        <f t="shared" si="2"/>
        <v>25</v>
      </c>
      <c r="S1107" s="11"/>
    </row>
    <row r="1108" ht="13.5" customHeight="1" spans="1:19">
      <c r="A1108" s="4" t="s">
        <v>85</v>
      </c>
      <c r="B1108" s="3">
        <v>1167</v>
      </c>
      <c r="C1108" s="3">
        <v>7918</v>
      </c>
      <c r="D1108" s="3">
        <v>0.1</v>
      </c>
      <c r="E1108" s="4" t="s">
        <v>33</v>
      </c>
      <c r="F1108" s="4" t="s">
        <v>123</v>
      </c>
      <c r="G1108" s="4" t="s">
        <v>124</v>
      </c>
      <c r="H1108" s="4" t="s">
        <v>40</v>
      </c>
      <c r="I1108" s="4" t="s">
        <v>156</v>
      </c>
      <c r="J1108" s="3">
        <v>3</v>
      </c>
      <c r="K1108" s="3">
        <v>25</v>
      </c>
      <c r="L1108" s="3">
        <v>8</v>
      </c>
      <c r="M1108" s="3">
        <v>1</v>
      </c>
      <c r="N1108" s="3">
        <v>12</v>
      </c>
      <c r="O1108" s="3">
        <v>4</v>
      </c>
      <c r="P1108" s="3">
        <f t="shared" si="0"/>
        <v>0</v>
      </c>
      <c r="Q1108" s="3">
        <f t="shared" si="1"/>
        <v>61.5384615384615</v>
      </c>
      <c r="R1108" s="3">
        <f t="shared" si="2"/>
        <v>30.7692307692308</v>
      </c>
      <c r="S1108" s="11"/>
    </row>
    <row r="1109" ht="13.5" customHeight="1" spans="1:19">
      <c r="A1109" s="4" t="s">
        <v>85</v>
      </c>
      <c r="B1109" s="3">
        <v>1167</v>
      </c>
      <c r="C1109" s="3">
        <v>7918</v>
      </c>
      <c r="D1109" s="3">
        <v>0.1</v>
      </c>
      <c r="E1109" s="4" t="s">
        <v>33</v>
      </c>
      <c r="F1109" s="4" t="s">
        <v>123</v>
      </c>
      <c r="G1109" s="4" t="s">
        <v>124</v>
      </c>
      <c r="H1109" s="4" t="s">
        <v>40</v>
      </c>
      <c r="I1109" s="4" t="s">
        <v>156</v>
      </c>
      <c r="J1109" s="3">
        <v>4</v>
      </c>
      <c r="K1109" s="3">
        <v>25</v>
      </c>
      <c r="L1109" s="3">
        <v>14</v>
      </c>
      <c r="M1109" s="3">
        <v>0</v>
      </c>
      <c r="N1109" s="3">
        <v>7</v>
      </c>
      <c r="O1109" s="3">
        <v>4</v>
      </c>
      <c r="P1109" s="3">
        <f t="shared" si="0"/>
        <v>0</v>
      </c>
      <c r="Q1109" s="3">
        <f t="shared" si="1"/>
        <v>77.7777777777778</v>
      </c>
      <c r="R1109" s="3">
        <f t="shared" si="2"/>
        <v>22.2222222222222</v>
      </c>
      <c r="S1109" s="11"/>
    </row>
    <row r="1110" ht="13.5" customHeight="1" spans="1:21">
      <c r="A1110" s="4" t="s">
        <v>91</v>
      </c>
      <c r="B1110" s="3">
        <v>1007</v>
      </c>
      <c r="C1110" s="3">
        <v>4939</v>
      </c>
      <c r="D1110" s="3">
        <v>0.1</v>
      </c>
      <c r="E1110" s="4" t="s">
        <v>33</v>
      </c>
      <c r="F1110" s="4" t="s">
        <v>110</v>
      </c>
      <c r="G1110" s="4" t="s">
        <v>111</v>
      </c>
      <c r="H1110" s="4" t="s">
        <v>40</v>
      </c>
      <c r="I1110" s="4" t="s">
        <v>156</v>
      </c>
      <c r="J1110" s="3">
        <v>1</v>
      </c>
      <c r="K1110" s="3">
        <v>25</v>
      </c>
      <c r="L1110" s="3">
        <v>5</v>
      </c>
      <c r="M1110" s="3">
        <v>0</v>
      </c>
      <c r="N1110" s="3">
        <v>19</v>
      </c>
      <c r="O1110" s="3">
        <v>1</v>
      </c>
      <c r="P1110" s="3">
        <f t="shared" si="0"/>
        <v>0</v>
      </c>
      <c r="Q1110" s="3">
        <f t="shared" si="1"/>
        <v>83.3333333333333</v>
      </c>
      <c r="R1110" s="3">
        <f t="shared" si="2"/>
        <v>16.6666666666667</v>
      </c>
      <c r="S1110" s="11">
        <f>AVERAGE(Q1110:Q1113)</f>
        <v>81.5151515151515</v>
      </c>
      <c r="T1110" s="7">
        <f>AVERAGE(R1110:R1113)</f>
        <v>13.9393939393939</v>
      </c>
      <c r="U1110" s="8">
        <f>(L1110+L1111+L1112+L1113+O1110+O1111+O1112+O1113)/(K1110+K1111+K1112+K1113)*100</f>
        <v>31</v>
      </c>
    </row>
    <row r="1111" ht="13.5" customHeight="1" spans="1:19">
      <c r="A1111" s="4" t="s">
        <v>91</v>
      </c>
      <c r="B1111" s="3">
        <v>1007</v>
      </c>
      <c r="C1111" s="3">
        <v>4939</v>
      </c>
      <c r="D1111" s="3">
        <v>0.1</v>
      </c>
      <c r="E1111" s="4" t="s">
        <v>33</v>
      </c>
      <c r="F1111" s="4" t="s">
        <v>110</v>
      </c>
      <c r="G1111" s="4" t="s">
        <v>111</v>
      </c>
      <c r="H1111" s="4" t="s">
        <v>40</v>
      </c>
      <c r="I1111" s="4" t="s">
        <v>156</v>
      </c>
      <c r="J1111" s="3">
        <v>2</v>
      </c>
      <c r="K1111" s="3">
        <v>25</v>
      </c>
      <c r="L1111" s="3">
        <v>7</v>
      </c>
      <c r="M1111" s="3">
        <v>0</v>
      </c>
      <c r="N1111" s="3">
        <v>15</v>
      </c>
      <c r="O1111" s="3">
        <v>3</v>
      </c>
      <c r="P1111" s="3">
        <f t="shared" si="0"/>
        <v>0</v>
      </c>
      <c r="Q1111" s="3">
        <f t="shared" si="1"/>
        <v>70</v>
      </c>
      <c r="R1111" s="3">
        <f t="shared" si="2"/>
        <v>30</v>
      </c>
      <c r="S1111" s="11"/>
    </row>
    <row r="1112" ht="13.5" customHeight="1" spans="1:19">
      <c r="A1112" s="4" t="s">
        <v>91</v>
      </c>
      <c r="B1112" s="3">
        <v>1007</v>
      </c>
      <c r="C1112" s="3">
        <v>4939</v>
      </c>
      <c r="D1112" s="3">
        <v>0.1</v>
      </c>
      <c r="E1112" s="4" t="s">
        <v>33</v>
      </c>
      <c r="F1112" s="4" t="s">
        <v>110</v>
      </c>
      <c r="G1112" s="4" t="s">
        <v>111</v>
      </c>
      <c r="H1112" s="4" t="s">
        <v>40</v>
      </c>
      <c r="I1112" s="4" t="s">
        <v>156</v>
      </c>
      <c r="J1112" s="3">
        <v>3</v>
      </c>
      <c r="K1112" s="3">
        <v>25</v>
      </c>
      <c r="L1112" s="3">
        <v>8</v>
      </c>
      <c r="M1112" s="3">
        <v>2</v>
      </c>
      <c r="N1112" s="3">
        <v>14</v>
      </c>
      <c r="O1112" s="3">
        <v>1</v>
      </c>
      <c r="P1112" s="3">
        <f t="shared" si="0"/>
        <v>0</v>
      </c>
      <c r="Q1112" s="3">
        <f t="shared" si="1"/>
        <v>72.7272727272727</v>
      </c>
      <c r="R1112" s="3">
        <f t="shared" si="2"/>
        <v>9.09090909090909</v>
      </c>
      <c r="S1112" s="11"/>
    </row>
    <row r="1113" ht="13.5" customHeight="1" spans="1:19">
      <c r="A1113" s="4" t="s">
        <v>91</v>
      </c>
      <c r="B1113" s="3">
        <v>1007</v>
      </c>
      <c r="C1113" s="3">
        <v>4939</v>
      </c>
      <c r="D1113" s="3">
        <v>0.1</v>
      </c>
      <c r="E1113" s="4" t="s">
        <v>33</v>
      </c>
      <c r="F1113" s="4" t="s">
        <v>110</v>
      </c>
      <c r="G1113" s="4" t="s">
        <v>111</v>
      </c>
      <c r="H1113" s="4" t="s">
        <v>40</v>
      </c>
      <c r="I1113" s="4" t="s">
        <v>156</v>
      </c>
      <c r="J1113" s="3">
        <v>4</v>
      </c>
      <c r="K1113" s="3">
        <v>25</v>
      </c>
      <c r="L1113" s="3">
        <v>6</v>
      </c>
      <c r="M1113" s="3">
        <v>0</v>
      </c>
      <c r="N1113" s="3">
        <v>19</v>
      </c>
      <c r="O1113" s="3">
        <v>0</v>
      </c>
      <c r="P1113" s="3">
        <f t="shared" si="0"/>
        <v>0</v>
      </c>
      <c r="Q1113" s="3">
        <f t="shared" si="1"/>
        <v>100</v>
      </c>
      <c r="R1113" s="3">
        <f t="shared" si="2"/>
        <v>0</v>
      </c>
      <c r="S1113" s="11"/>
    </row>
    <row r="1114" ht="13.5" customHeight="1" spans="1:21">
      <c r="A1114" s="4" t="s">
        <v>37</v>
      </c>
      <c r="B1114" s="3">
        <v>1016</v>
      </c>
      <c r="C1114" s="3">
        <v>5657</v>
      </c>
      <c r="D1114" s="3">
        <v>4</v>
      </c>
      <c r="E1114" s="4" t="s">
        <v>33</v>
      </c>
      <c r="F1114" s="4" t="s">
        <v>110</v>
      </c>
      <c r="G1114" s="4" t="s">
        <v>111</v>
      </c>
      <c r="H1114" s="4" t="s">
        <v>40</v>
      </c>
      <c r="I1114" s="4" t="s">
        <v>156</v>
      </c>
      <c r="J1114" s="3">
        <v>1</v>
      </c>
      <c r="K1114" s="3">
        <v>25</v>
      </c>
      <c r="L1114" s="3">
        <v>21</v>
      </c>
      <c r="M1114" s="3">
        <v>0</v>
      </c>
      <c r="N1114" s="3">
        <v>4</v>
      </c>
      <c r="O1114" s="3">
        <v>0</v>
      </c>
      <c r="P1114" s="3">
        <f t="shared" si="0"/>
        <v>0</v>
      </c>
      <c r="Q1114" s="3">
        <f t="shared" si="1"/>
        <v>100</v>
      </c>
      <c r="R1114" s="3">
        <f t="shared" si="2"/>
        <v>0</v>
      </c>
      <c r="S1114" s="11">
        <f>AVERAGE(Q1114:Q1117)</f>
        <v>100</v>
      </c>
      <c r="T1114" s="7">
        <f>AVERAGE(R1114:R1117)</f>
        <v>0</v>
      </c>
      <c r="U1114" s="8">
        <f>(L1114+L1115+L1116+L1117+O1114+O1115+O1116+O1117)/(K1114+K1115+K1116+K1117)*100</f>
        <v>80</v>
      </c>
    </row>
    <row r="1115" ht="13.5" customHeight="1" spans="1:19">
      <c r="A1115" s="4" t="s">
        <v>37</v>
      </c>
      <c r="B1115" s="3">
        <v>1016</v>
      </c>
      <c r="C1115" s="3">
        <v>5657</v>
      </c>
      <c r="D1115" s="3">
        <v>4</v>
      </c>
      <c r="E1115" s="4" t="s">
        <v>33</v>
      </c>
      <c r="F1115" s="4" t="s">
        <v>110</v>
      </c>
      <c r="G1115" s="4" t="s">
        <v>111</v>
      </c>
      <c r="H1115" s="4" t="s">
        <v>40</v>
      </c>
      <c r="I1115" s="4" t="s">
        <v>156</v>
      </c>
      <c r="J1115" s="3">
        <v>2</v>
      </c>
      <c r="K1115" s="3">
        <v>25</v>
      </c>
      <c r="L1115" s="3">
        <v>16</v>
      </c>
      <c r="M1115" s="3">
        <v>0</v>
      </c>
      <c r="N1115" s="3">
        <v>9</v>
      </c>
      <c r="O1115" s="3">
        <v>0</v>
      </c>
      <c r="P1115" s="3">
        <f t="shared" si="0"/>
        <v>0</v>
      </c>
      <c r="Q1115" s="3">
        <f t="shared" si="1"/>
        <v>100</v>
      </c>
      <c r="R1115" s="3">
        <f t="shared" si="2"/>
        <v>0</v>
      </c>
      <c r="S1115" s="11"/>
    </row>
    <row r="1116" ht="13.5" customHeight="1" spans="1:19">
      <c r="A1116" s="4" t="s">
        <v>37</v>
      </c>
      <c r="B1116" s="3">
        <v>1016</v>
      </c>
      <c r="C1116" s="3">
        <v>5657</v>
      </c>
      <c r="D1116" s="3">
        <v>4</v>
      </c>
      <c r="E1116" s="4" t="s">
        <v>33</v>
      </c>
      <c r="F1116" s="4" t="s">
        <v>110</v>
      </c>
      <c r="G1116" s="4" t="s">
        <v>111</v>
      </c>
      <c r="H1116" s="4" t="s">
        <v>40</v>
      </c>
      <c r="I1116" s="4" t="s">
        <v>156</v>
      </c>
      <c r="J1116" s="3">
        <v>3</v>
      </c>
      <c r="K1116" s="3">
        <v>25</v>
      </c>
      <c r="L1116" s="3">
        <v>20</v>
      </c>
      <c r="M1116" s="3">
        <v>0</v>
      </c>
      <c r="N1116" s="3">
        <v>5</v>
      </c>
      <c r="O1116" s="3">
        <v>0</v>
      </c>
      <c r="P1116" s="3">
        <f t="shared" si="0"/>
        <v>0</v>
      </c>
      <c r="Q1116" s="3">
        <f t="shared" si="1"/>
        <v>100</v>
      </c>
      <c r="R1116" s="3">
        <f t="shared" si="2"/>
        <v>0</v>
      </c>
      <c r="S1116" s="11"/>
    </row>
    <row r="1117" ht="13.5" customHeight="1" spans="1:19">
      <c r="A1117" s="4" t="s">
        <v>37</v>
      </c>
      <c r="B1117" s="3">
        <v>1016</v>
      </c>
      <c r="C1117" s="3">
        <v>5657</v>
      </c>
      <c r="D1117" s="3">
        <v>4</v>
      </c>
      <c r="E1117" s="4" t="s">
        <v>33</v>
      </c>
      <c r="F1117" s="4" t="s">
        <v>110</v>
      </c>
      <c r="G1117" s="4" t="s">
        <v>111</v>
      </c>
      <c r="H1117" s="4" t="s">
        <v>40</v>
      </c>
      <c r="I1117" s="4" t="s">
        <v>156</v>
      </c>
      <c r="J1117" s="3">
        <v>4</v>
      </c>
      <c r="K1117" s="3">
        <v>25</v>
      </c>
      <c r="L1117" s="3">
        <v>23</v>
      </c>
      <c r="M1117" s="3">
        <v>0</v>
      </c>
      <c r="N1117" s="3">
        <v>2</v>
      </c>
      <c r="O1117" s="3">
        <v>0</v>
      </c>
      <c r="P1117" s="3">
        <f t="shared" si="0"/>
        <v>0</v>
      </c>
      <c r="Q1117" s="3">
        <f t="shared" si="1"/>
        <v>100</v>
      </c>
      <c r="R1117" s="3">
        <f t="shared" si="2"/>
        <v>0</v>
      </c>
      <c r="S1117" s="11"/>
    </row>
    <row r="1118" ht="13.5" customHeight="1" spans="1:21">
      <c r="A1118" s="4" t="s">
        <v>122</v>
      </c>
      <c r="B1118" s="3">
        <v>1017</v>
      </c>
      <c r="C1118" s="3">
        <v>5938</v>
      </c>
      <c r="D1118" s="3">
        <v>0.1</v>
      </c>
      <c r="E1118" s="4" t="s">
        <v>33</v>
      </c>
      <c r="F1118" s="4" t="s">
        <v>123</v>
      </c>
      <c r="G1118" s="4" t="s">
        <v>124</v>
      </c>
      <c r="H1118" s="4" t="s">
        <v>40</v>
      </c>
      <c r="I1118" s="4" t="s">
        <v>156</v>
      </c>
      <c r="J1118" s="3">
        <v>1</v>
      </c>
      <c r="K1118" s="3">
        <v>25</v>
      </c>
      <c r="L1118" s="3">
        <v>12</v>
      </c>
      <c r="M1118" s="3">
        <v>1</v>
      </c>
      <c r="N1118" s="3">
        <v>11</v>
      </c>
      <c r="O1118" s="3">
        <v>1</v>
      </c>
      <c r="P1118" s="3">
        <f t="shared" si="0"/>
        <v>0</v>
      </c>
      <c r="Q1118" s="3">
        <f t="shared" si="1"/>
        <v>85.7142857142857</v>
      </c>
      <c r="R1118" s="3">
        <f t="shared" si="2"/>
        <v>7.14285714285714</v>
      </c>
      <c r="S1118" s="11">
        <f>AVERAGE(Q1118:Q1121)</f>
        <v>76.0200746965453</v>
      </c>
      <c r="T1118" s="7">
        <f>AVERAGE(R1118:R1121)</f>
        <v>19.6942110177404</v>
      </c>
      <c r="U1118" s="8">
        <f>(L1118+L1119+L1120+L1121+O1118+O1119+O1120+O1121)/(K1118+K1119+K1120+K1121)*100</f>
        <v>66</v>
      </c>
    </row>
    <row r="1119" ht="13.5" customHeight="1" spans="1:19">
      <c r="A1119" s="4" t="s">
        <v>122</v>
      </c>
      <c r="B1119" s="3">
        <v>1017</v>
      </c>
      <c r="C1119" s="3">
        <v>5938</v>
      </c>
      <c r="D1119" s="3">
        <v>0.1</v>
      </c>
      <c r="E1119" s="4" t="s">
        <v>33</v>
      </c>
      <c r="F1119" s="4" t="s">
        <v>123</v>
      </c>
      <c r="G1119" s="4" t="s">
        <v>124</v>
      </c>
      <c r="H1119" s="4" t="s">
        <v>40</v>
      </c>
      <c r="I1119" s="4" t="s">
        <v>156</v>
      </c>
      <c r="J1119" s="3">
        <v>2</v>
      </c>
      <c r="K1119" s="3">
        <v>25</v>
      </c>
      <c r="L1119" s="3">
        <v>14</v>
      </c>
      <c r="M1119" s="3">
        <v>0</v>
      </c>
      <c r="N1119" s="3">
        <v>7</v>
      </c>
      <c r="O1119" s="3">
        <v>4</v>
      </c>
      <c r="P1119" s="3">
        <f t="shared" si="0"/>
        <v>0</v>
      </c>
      <c r="Q1119" s="3">
        <f t="shared" si="1"/>
        <v>77.7777777777778</v>
      </c>
      <c r="R1119" s="3">
        <f t="shared" si="2"/>
        <v>22.2222222222222</v>
      </c>
      <c r="S1119" s="11"/>
    </row>
    <row r="1120" ht="13.5" customHeight="1" spans="1:19">
      <c r="A1120" s="4" t="s">
        <v>122</v>
      </c>
      <c r="B1120" s="3">
        <v>1017</v>
      </c>
      <c r="C1120" s="3">
        <v>5938</v>
      </c>
      <c r="D1120" s="3">
        <v>0.1</v>
      </c>
      <c r="E1120" s="4" t="s">
        <v>33</v>
      </c>
      <c r="F1120" s="4" t="s">
        <v>123</v>
      </c>
      <c r="G1120" s="4" t="s">
        <v>124</v>
      </c>
      <c r="H1120" s="4" t="s">
        <v>40</v>
      </c>
      <c r="I1120" s="4" t="s">
        <v>156</v>
      </c>
      <c r="J1120" s="3">
        <v>3</v>
      </c>
      <c r="K1120" s="3">
        <v>25</v>
      </c>
      <c r="L1120" s="3">
        <v>12</v>
      </c>
      <c r="M1120" s="3">
        <v>0</v>
      </c>
      <c r="N1120" s="3">
        <v>8</v>
      </c>
      <c r="O1120" s="3">
        <v>5</v>
      </c>
      <c r="P1120" s="3">
        <f t="shared" si="0"/>
        <v>0</v>
      </c>
      <c r="Q1120" s="3">
        <f t="shared" si="1"/>
        <v>70.5882352941177</v>
      </c>
      <c r="R1120" s="3">
        <f t="shared" si="2"/>
        <v>29.4117647058824</v>
      </c>
      <c r="S1120" s="11"/>
    </row>
    <row r="1121" ht="13.5" customHeight="1" spans="1:19">
      <c r="A1121" s="4" t="s">
        <v>122</v>
      </c>
      <c r="B1121" s="3">
        <v>1017</v>
      </c>
      <c r="C1121" s="3">
        <v>5938</v>
      </c>
      <c r="D1121" s="3">
        <v>0.1</v>
      </c>
      <c r="E1121" s="4" t="s">
        <v>33</v>
      </c>
      <c r="F1121" s="4" t="s">
        <v>123</v>
      </c>
      <c r="G1121" s="4" t="s">
        <v>124</v>
      </c>
      <c r="H1121" s="4" t="s">
        <v>40</v>
      </c>
      <c r="I1121" s="4" t="s">
        <v>156</v>
      </c>
      <c r="J1121" s="3">
        <v>4</v>
      </c>
      <c r="K1121" s="3">
        <v>25</v>
      </c>
      <c r="L1121" s="3">
        <v>14</v>
      </c>
      <c r="M1121" s="3">
        <v>2</v>
      </c>
      <c r="N1121" s="3">
        <v>5</v>
      </c>
      <c r="O1121" s="3">
        <v>4</v>
      </c>
      <c r="P1121" s="3">
        <f t="shared" si="0"/>
        <v>0</v>
      </c>
      <c r="Q1121" s="3">
        <f t="shared" si="1"/>
        <v>70</v>
      </c>
      <c r="R1121" s="3">
        <f t="shared" si="2"/>
        <v>20</v>
      </c>
      <c r="S1121" s="11"/>
    </row>
    <row r="1122" ht="13.5" customHeight="1" spans="1:21">
      <c r="A1122" s="4" t="s">
        <v>21</v>
      </c>
      <c r="B1122" s="3">
        <v>1236</v>
      </c>
      <c r="C1122" s="3">
        <v>8460</v>
      </c>
      <c r="D1122" s="3">
        <v>0.1</v>
      </c>
      <c r="E1122" s="4" t="s">
        <v>33</v>
      </c>
      <c r="F1122" s="4" t="s">
        <v>123</v>
      </c>
      <c r="G1122" s="4" t="s">
        <v>124</v>
      </c>
      <c r="H1122" s="4" t="s">
        <v>40</v>
      </c>
      <c r="I1122" s="4" t="s">
        <v>156</v>
      </c>
      <c r="J1122" s="3">
        <v>1</v>
      </c>
      <c r="K1122" s="3">
        <v>25</v>
      </c>
      <c r="L1122" s="3">
        <v>18</v>
      </c>
      <c r="M1122" s="3">
        <v>0</v>
      </c>
      <c r="N1122" s="3">
        <v>3</v>
      </c>
      <c r="O1122" s="3">
        <v>4</v>
      </c>
      <c r="P1122" s="3">
        <f t="shared" si="0"/>
        <v>0</v>
      </c>
      <c r="Q1122" s="3">
        <f t="shared" si="1"/>
        <v>81.8181818181818</v>
      </c>
      <c r="R1122" s="3">
        <f t="shared" si="2"/>
        <v>18.1818181818182</v>
      </c>
      <c r="S1122" s="11">
        <f>AVERAGE(Q1122:Q1125)</f>
        <v>78.4545454545455</v>
      </c>
      <c r="T1122" s="7">
        <f>AVERAGE(R1122:R1125)</f>
        <v>5.54545454545455</v>
      </c>
      <c r="U1122" s="8">
        <f>(L1122+L1123+L1124+L1125+O1122+O1123+O1124+O1125)/(K1122+K1123+K1124+K1125)*100</f>
        <v>81</v>
      </c>
    </row>
    <row r="1123" ht="13.5" customHeight="1" spans="1:19">
      <c r="A1123" s="4" t="s">
        <v>21</v>
      </c>
      <c r="B1123" s="3">
        <v>1236</v>
      </c>
      <c r="C1123" s="3">
        <v>8460</v>
      </c>
      <c r="D1123" s="3">
        <v>0.1</v>
      </c>
      <c r="E1123" s="4" t="s">
        <v>33</v>
      </c>
      <c r="F1123" s="4" t="s">
        <v>123</v>
      </c>
      <c r="G1123" s="4" t="s">
        <v>124</v>
      </c>
      <c r="H1123" s="4" t="s">
        <v>40</v>
      </c>
      <c r="I1123" s="4" t="s">
        <v>156</v>
      </c>
      <c r="J1123" s="3">
        <v>2</v>
      </c>
      <c r="K1123" s="3">
        <v>25</v>
      </c>
      <c r="L1123" s="3">
        <v>20</v>
      </c>
      <c r="M1123" s="3">
        <v>5</v>
      </c>
      <c r="N1123" s="3">
        <v>0</v>
      </c>
      <c r="O1123" s="3">
        <v>0</v>
      </c>
      <c r="P1123" s="3">
        <f t="shared" si="0"/>
        <v>0</v>
      </c>
      <c r="Q1123" s="3">
        <f t="shared" si="1"/>
        <v>80</v>
      </c>
      <c r="R1123" s="3">
        <f t="shared" si="2"/>
        <v>0</v>
      </c>
      <c r="S1123" s="11"/>
    </row>
    <row r="1124" ht="13.5" customHeight="1" spans="1:19">
      <c r="A1124" s="4" t="s">
        <v>21</v>
      </c>
      <c r="B1124" s="3">
        <v>1236</v>
      </c>
      <c r="C1124" s="3">
        <v>8460</v>
      </c>
      <c r="D1124" s="3">
        <v>0.1</v>
      </c>
      <c r="E1124" s="4" t="s">
        <v>33</v>
      </c>
      <c r="F1124" s="4" t="s">
        <v>123</v>
      </c>
      <c r="G1124" s="4" t="s">
        <v>124</v>
      </c>
      <c r="H1124" s="4" t="s">
        <v>40</v>
      </c>
      <c r="I1124" s="4" t="s">
        <v>156</v>
      </c>
      <c r="J1124" s="3">
        <v>3</v>
      </c>
      <c r="K1124" s="3">
        <v>25</v>
      </c>
      <c r="L1124" s="3">
        <v>19</v>
      </c>
      <c r="M1124" s="3">
        <v>6</v>
      </c>
      <c r="N1124" s="3">
        <v>0</v>
      </c>
      <c r="O1124" s="3">
        <v>0</v>
      </c>
      <c r="P1124" s="3">
        <f t="shared" si="0"/>
        <v>0</v>
      </c>
      <c r="Q1124" s="3">
        <f t="shared" si="1"/>
        <v>76</v>
      </c>
      <c r="R1124" s="3">
        <f t="shared" si="2"/>
        <v>0</v>
      </c>
      <c r="S1124" s="11"/>
    </row>
    <row r="1125" ht="13.5" customHeight="1" spans="1:19">
      <c r="A1125" s="4" t="s">
        <v>21</v>
      </c>
      <c r="B1125" s="3">
        <v>1236</v>
      </c>
      <c r="C1125" s="3">
        <v>8460</v>
      </c>
      <c r="D1125" s="3">
        <v>0.1</v>
      </c>
      <c r="E1125" s="4" t="s">
        <v>33</v>
      </c>
      <c r="F1125" s="4" t="s">
        <v>123</v>
      </c>
      <c r="G1125" s="4" t="s">
        <v>124</v>
      </c>
      <c r="H1125" s="4" t="s">
        <v>40</v>
      </c>
      <c r="I1125" s="4" t="s">
        <v>156</v>
      </c>
      <c r="J1125" s="3">
        <v>4</v>
      </c>
      <c r="K1125" s="3">
        <v>25</v>
      </c>
      <c r="L1125" s="3">
        <v>19</v>
      </c>
      <c r="M1125" s="3">
        <v>5</v>
      </c>
      <c r="N1125" s="3">
        <v>0</v>
      </c>
      <c r="O1125" s="3">
        <v>1</v>
      </c>
      <c r="P1125" s="3">
        <f t="shared" si="0"/>
        <v>0</v>
      </c>
      <c r="Q1125" s="3">
        <f t="shared" si="1"/>
        <v>76</v>
      </c>
      <c r="R1125" s="3">
        <f t="shared" si="2"/>
        <v>4</v>
      </c>
      <c r="S1125" s="11"/>
    </row>
    <row r="1126" ht="13.5" customHeight="1" spans="1:21">
      <c r="A1126" s="4" t="s">
        <v>32</v>
      </c>
      <c r="B1126" s="3">
        <v>1342</v>
      </c>
      <c r="C1126" s="3">
        <v>9074</v>
      </c>
      <c r="D1126" s="3">
        <v>0.1</v>
      </c>
      <c r="E1126" s="4" t="s">
        <v>33</v>
      </c>
      <c r="F1126" s="4" t="s">
        <v>123</v>
      </c>
      <c r="G1126" s="4" t="s">
        <v>124</v>
      </c>
      <c r="H1126" s="4" t="s">
        <v>40</v>
      </c>
      <c r="I1126" s="4" t="s">
        <v>156</v>
      </c>
      <c r="J1126" s="3">
        <v>1</v>
      </c>
      <c r="K1126" s="3">
        <v>25</v>
      </c>
      <c r="L1126" s="3">
        <v>5</v>
      </c>
      <c r="M1126" s="3">
        <v>5</v>
      </c>
      <c r="N1126" s="3">
        <v>15</v>
      </c>
      <c r="O1126" s="3">
        <v>0</v>
      </c>
      <c r="P1126" s="3">
        <f t="shared" si="0"/>
        <v>0</v>
      </c>
      <c r="Q1126" s="3">
        <f t="shared" si="1"/>
        <v>50</v>
      </c>
      <c r="R1126" s="3">
        <f t="shared" si="2"/>
        <v>0</v>
      </c>
      <c r="S1126" s="11">
        <f>AVERAGE(Q1126:Q1129)</f>
        <v>50.5208333333333</v>
      </c>
      <c r="T1126" s="7">
        <f>AVERAGE(R1126:R1129)</f>
        <v>9.375</v>
      </c>
      <c r="U1126" s="8">
        <f>(L1126+L1127+L1128+L1129+O1126+O1127+O1128+O1129)/(K1126+K1127+K1128+K1129)*100</f>
        <v>21</v>
      </c>
    </row>
    <row r="1127" ht="13.5" customHeight="1" spans="1:19">
      <c r="A1127" s="4" t="s">
        <v>32</v>
      </c>
      <c r="B1127" s="3">
        <v>1342</v>
      </c>
      <c r="C1127" s="3">
        <v>9074</v>
      </c>
      <c r="D1127" s="3">
        <v>0.1</v>
      </c>
      <c r="E1127" s="4" t="s">
        <v>33</v>
      </c>
      <c r="F1127" s="4" t="s">
        <v>123</v>
      </c>
      <c r="G1127" s="4" t="s">
        <v>124</v>
      </c>
      <c r="H1127" s="4" t="s">
        <v>40</v>
      </c>
      <c r="I1127" s="4" t="s">
        <v>156</v>
      </c>
      <c r="J1127" s="3">
        <v>2</v>
      </c>
      <c r="K1127" s="3">
        <v>25</v>
      </c>
      <c r="L1127" s="3">
        <v>1</v>
      </c>
      <c r="M1127" s="3">
        <v>2</v>
      </c>
      <c r="N1127" s="3">
        <v>22</v>
      </c>
      <c r="O1127" s="3">
        <v>0</v>
      </c>
      <c r="P1127" s="3">
        <f t="shared" si="0"/>
        <v>0</v>
      </c>
      <c r="Q1127" s="3">
        <f t="shared" si="1"/>
        <v>33.3333333333333</v>
      </c>
      <c r="R1127" s="3">
        <f t="shared" si="2"/>
        <v>0</v>
      </c>
      <c r="S1127" s="11"/>
    </row>
    <row r="1128" ht="13.5" customHeight="1" spans="1:19">
      <c r="A1128" s="4" t="s">
        <v>32</v>
      </c>
      <c r="B1128" s="3">
        <v>1342</v>
      </c>
      <c r="C1128" s="3">
        <v>9074</v>
      </c>
      <c r="D1128" s="3">
        <v>0.1</v>
      </c>
      <c r="E1128" s="4" t="s">
        <v>33</v>
      </c>
      <c r="F1128" s="4" t="s">
        <v>123</v>
      </c>
      <c r="G1128" s="4" t="s">
        <v>124</v>
      </c>
      <c r="H1128" s="4" t="s">
        <v>40</v>
      </c>
      <c r="I1128" s="4" t="s">
        <v>156</v>
      </c>
      <c r="J1128" s="3">
        <v>3</v>
      </c>
      <c r="K1128" s="3">
        <v>25</v>
      </c>
      <c r="L1128" s="3">
        <v>6</v>
      </c>
      <c r="M1128" s="3">
        <v>0</v>
      </c>
      <c r="N1128" s="3">
        <v>19</v>
      </c>
      <c r="O1128" s="3">
        <v>0</v>
      </c>
      <c r="P1128" s="3">
        <f t="shared" si="0"/>
        <v>0</v>
      </c>
      <c r="Q1128" s="3">
        <f t="shared" si="1"/>
        <v>100</v>
      </c>
      <c r="R1128" s="3">
        <f t="shared" si="2"/>
        <v>0</v>
      </c>
      <c r="S1128" s="11"/>
    </row>
    <row r="1129" ht="13.5" customHeight="1" spans="1:19">
      <c r="A1129" s="4" t="s">
        <v>32</v>
      </c>
      <c r="B1129" s="3">
        <v>1342</v>
      </c>
      <c r="C1129" s="3">
        <v>9074</v>
      </c>
      <c r="D1129" s="3">
        <v>0.1</v>
      </c>
      <c r="E1129" s="4" t="s">
        <v>33</v>
      </c>
      <c r="F1129" s="4" t="s">
        <v>123</v>
      </c>
      <c r="G1129" s="4" t="s">
        <v>124</v>
      </c>
      <c r="H1129" s="4" t="s">
        <v>40</v>
      </c>
      <c r="I1129" s="4" t="s">
        <v>156</v>
      </c>
      <c r="J1129" s="3">
        <v>4</v>
      </c>
      <c r="K1129" s="3">
        <v>25</v>
      </c>
      <c r="L1129" s="3">
        <v>3</v>
      </c>
      <c r="M1129" s="3">
        <v>7</v>
      </c>
      <c r="N1129" s="3">
        <v>9</v>
      </c>
      <c r="O1129" s="3">
        <v>6</v>
      </c>
      <c r="P1129" s="3">
        <f t="shared" si="0"/>
        <v>0</v>
      </c>
      <c r="Q1129" s="3">
        <f t="shared" si="1"/>
        <v>18.75</v>
      </c>
      <c r="R1129" s="3">
        <f t="shared" si="2"/>
        <v>37.5</v>
      </c>
      <c r="S1129" s="11"/>
    </row>
    <row r="1130" ht="13.5" customHeight="1" spans="1:21">
      <c r="A1130" s="4" t="s">
        <v>60</v>
      </c>
      <c r="B1130" s="3">
        <v>1330</v>
      </c>
      <c r="C1130" s="3">
        <v>9133</v>
      </c>
      <c r="D1130" s="3">
        <v>0.1</v>
      </c>
      <c r="E1130" s="4" t="s">
        <v>33</v>
      </c>
      <c r="F1130" s="4" t="s">
        <v>123</v>
      </c>
      <c r="G1130" s="4" t="s">
        <v>124</v>
      </c>
      <c r="H1130" s="4" t="s">
        <v>40</v>
      </c>
      <c r="I1130" s="4" t="s">
        <v>156</v>
      </c>
      <c r="J1130" s="3">
        <v>1</v>
      </c>
      <c r="K1130" s="3">
        <v>25</v>
      </c>
      <c r="L1130" s="3">
        <v>20</v>
      </c>
      <c r="M1130" s="3">
        <v>1</v>
      </c>
      <c r="N1130" s="3">
        <v>0</v>
      </c>
      <c r="O1130" s="3">
        <v>4</v>
      </c>
      <c r="P1130" s="3">
        <f t="shared" si="0"/>
        <v>0</v>
      </c>
      <c r="Q1130" s="3">
        <f t="shared" si="1"/>
        <v>80</v>
      </c>
      <c r="R1130" s="3">
        <f t="shared" si="2"/>
        <v>16</v>
      </c>
      <c r="S1130" s="11">
        <f>AVERAGE(Q1130:Q1133)</f>
        <v>84.8809523809524</v>
      </c>
      <c r="T1130" s="7">
        <f>AVERAGE(R1130:R1133)</f>
        <v>14.1190476190476</v>
      </c>
      <c r="U1130" s="8">
        <f>(L1130+L1131+L1132+L1133+O1130+O1131+O1132+O1133)/(K1130+K1131+K1132+K1133)*100</f>
        <v>90</v>
      </c>
    </row>
    <row r="1131" ht="13.5" customHeight="1" spans="1:19">
      <c r="A1131" s="4" t="s">
        <v>60</v>
      </c>
      <c r="B1131" s="3">
        <v>1330</v>
      </c>
      <c r="C1131" s="3">
        <v>9133</v>
      </c>
      <c r="D1131" s="3">
        <v>0.1</v>
      </c>
      <c r="E1131" s="4" t="s">
        <v>33</v>
      </c>
      <c r="F1131" s="4" t="s">
        <v>123</v>
      </c>
      <c r="G1131" s="4" t="s">
        <v>124</v>
      </c>
      <c r="H1131" s="4" t="s">
        <v>40</v>
      </c>
      <c r="I1131" s="4" t="s">
        <v>156</v>
      </c>
      <c r="J1131" s="3">
        <v>2</v>
      </c>
      <c r="K1131" s="3">
        <v>25</v>
      </c>
      <c r="L1131" s="3">
        <v>21</v>
      </c>
      <c r="M1131" s="3">
        <v>0</v>
      </c>
      <c r="N1131" s="3">
        <v>4</v>
      </c>
      <c r="O1131" s="3">
        <v>0</v>
      </c>
      <c r="P1131" s="3">
        <f t="shared" si="0"/>
        <v>0</v>
      </c>
      <c r="Q1131" s="3">
        <f t="shared" si="1"/>
        <v>100</v>
      </c>
      <c r="R1131" s="3">
        <f t="shared" si="2"/>
        <v>0</v>
      </c>
      <c r="S1131" s="11"/>
    </row>
    <row r="1132" ht="13.5" customHeight="1" spans="1:19">
      <c r="A1132" s="4" t="s">
        <v>60</v>
      </c>
      <c r="B1132" s="3">
        <v>1330</v>
      </c>
      <c r="C1132" s="3">
        <v>9133</v>
      </c>
      <c r="D1132" s="3">
        <v>0.1</v>
      </c>
      <c r="E1132" s="4" t="s">
        <v>33</v>
      </c>
      <c r="F1132" s="4" t="s">
        <v>123</v>
      </c>
      <c r="G1132" s="4" t="s">
        <v>124</v>
      </c>
      <c r="H1132" s="4" t="s">
        <v>40</v>
      </c>
      <c r="I1132" s="4" t="s">
        <v>156</v>
      </c>
      <c r="J1132" s="3">
        <v>3</v>
      </c>
      <c r="K1132" s="3">
        <v>25</v>
      </c>
      <c r="L1132" s="3">
        <v>16</v>
      </c>
      <c r="M1132" s="3">
        <v>0</v>
      </c>
      <c r="N1132" s="3">
        <v>4</v>
      </c>
      <c r="O1132" s="3">
        <v>5</v>
      </c>
      <c r="P1132" s="3">
        <f t="shared" si="0"/>
        <v>0</v>
      </c>
      <c r="Q1132" s="3">
        <f t="shared" si="1"/>
        <v>76.1904761904762</v>
      </c>
      <c r="R1132" s="3">
        <f t="shared" si="2"/>
        <v>23.8095238095238</v>
      </c>
      <c r="S1132" s="11"/>
    </row>
    <row r="1133" ht="13.5" customHeight="1" spans="1:19">
      <c r="A1133" s="4" t="s">
        <v>60</v>
      </c>
      <c r="B1133" s="3">
        <v>1330</v>
      </c>
      <c r="C1133" s="3">
        <v>9133</v>
      </c>
      <c r="D1133" s="3">
        <v>0.1</v>
      </c>
      <c r="E1133" s="4" t="s">
        <v>33</v>
      </c>
      <c r="F1133" s="4" t="s">
        <v>123</v>
      </c>
      <c r="G1133" s="4" t="s">
        <v>124</v>
      </c>
      <c r="H1133" s="4" t="s">
        <v>40</v>
      </c>
      <c r="I1133" s="4" t="s">
        <v>156</v>
      </c>
      <c r="J1133" s="3">
        <v>4</v>
      </c>
      <c r="K1133" s="3">
        <v>25</v>
      </c>
      <c r="L1133" s="3">
        <v>20</v>
      </c>
      <c r="M1133" s="3">
        <v>0</v>
      </c>
      <c r="N1133" s="3">
        <v>1</v>
      </c>
      <c r="O1133" s="3">
        <v>4</v>
      </c>
      <c r="P1133" s="3">
        <f t="shared" si="0"/>
        <v>0</v>
      </c>
      <c r="Q1133" s="3">
        <f t="shared" si="1"/>
        <v>83.3333333333333</v>
      </c>
      <c r="R1133" s="3">
        <f t="shared" si="2"/>
        <v>16.6666666666667</v>
      </c>
      <c r="S1133" s="11"/>
    </row>
    <row r="1134" ht="13.5" customHeight="1" spans="1:21">
      <c r="A1134" s="4" t="s">
        <v>42</v>
      </c>
      <c r="B1134" s="3">
        <v>1441</v>
      </c>
      <c r="C1134" s="3">
        <v>9420</v>
      </c>
      <c r="D1134" s="3">
        <v>0.1</v>
      </c>
      <c r="E1134" s="4" t="s">
        <v>33</v>
      </c>
      <c r="F1134" s="4" t="s">
        <v>123</v>
      </c>
      <c r="G1134" s="4" t="s">
        <v>124</v>
      </c>
      <c r="H1134" s="4" t="s">
        <v>40</v>
      </c>
      <c r="I1134" s="4" t="s">
        <v>156</v>
      </c>
      <c r="J1134" s="3">
        <v>1</v>
      </c>
      <c r="K1134" s="3">
        <v>25</v>
      </c>
      <c r="L1134" s="3">
        <v>22</v>
      </c>
      <c r="M1134" s="3">
        <v>0</v>
      </c>
      <c r="N1134" s="3">
        <v>3</v>
      </c>
      <c r="O1134" s="3">
        <v>0</v>
      </c>
      <c r="P1134" s="3">
        <f t="shared" si="0"/>
        <v>0</v>
      </c>
      <c r="Q1134" s="3">
        <f t="shared" si="1"/>
        <v>100</v>
      </c>
      <c r="R1134" s="3">
        <f t="shared" si="2"/>
        <v>0</v>
      </c>
      <c r="S1134" s="11">
        <f>AVERAGE(Q1134:Q1137)</f>
        <v>92.3418972332016</v>
      </c>
      <c r="T1134" s="7">
        <f>AVERAGE(R1134:R1137)</f>
        <v>4.39723320158104</v>
      </c>
      <c r="U1134" s="8">
        <f>(L1134+L1135+L1136+L1137+O1134+O1135+O1136+O1137)/(K1134+K1135+K1136+K1137)*100</f>
        <v>83</v>
      </c>
    </row>
    <row r="1135" ht="13.5" customHeight="1" spans="1:19">
      <c r="A1135" s="4" t="s">
        <v>42</v>
      </c>
      <c r="B1135" s="3">
        <v>1441</v>
      </c>
      <c r="C1135" s="3">
        <v>9420</v>
      </c>
      <c r="D1135" s="3">
        <v>0.1</v>
      </c>
      <c r="E1135" s="4" t="s">
        <v>33</v>
      </c>
      <c r="F1135" s="4" t="s">
        <v>123</v>
      </c>
      <c r="G1135" s="4" t="s">
        <v>124</v>
      </c>
      <c r="H1135" s="4" t="s">
        <v>40</v>
      </c>
      <c r="I1135" s="4" t="s">
        <v>156</v>
      </c>
      <c r="J1135" s="3">
        <v>2</v>
      </c>
      <c r="K1135" s="3">
        <v>25</v>
      </c>
      <c r="L1135" s="3">
        <v>19</v>
      </c>
      <c r="M1135" s="3">
        <v>0</v>
      </c>
      <c r="N1135" s="3">
        <v>6</v>
      </c>
      <c r="O1135" s="3">
        <v>0</v>
      </c>
      <c r="P1135" s="3">
        <f t="shared" si="0"/>
        <v>0</v>
      </c>
      <c r="Q1135" s="3">
        <f t="shared" si="1"/>
        <v>100</v>
      </c>
      <c r="R1135" s="3">
        <f t="shared" si="2"/>
        <v>0</v>
      </c>
      <c r="S1135" s="11"/>
    </row>
    <row r="1136" ht="13.5" customHeight="1" spans="1:19">
      <c r="A1136" s="4" t="s">
        <v>42</v>
      </c>
      <c r="B1136" s="3">
        <v>1441</v>
      </c>
      <c r="C1136" s="3">
        <v>9420</v>
      </c>
      <c r="D1136" s="3">
        <v>0.1</v>
      </c>
      <c r="E1136" s="4" t="s">
        <v>33</v>
      </c>
      <c r="F1136" s="4" t="s">
        <v>123</v>
      </c>
      <c r="G1136" s="4" t="s">
        <v>124</v>
      </c>
      <c r="H1136" s="4" t="s">
        <v>40</v>
      </c>
      <c r="I1136" s="4" t="s">
        <v>156</v>
      </c>
      <c r="J1136" s="3">
        <v>3</v>
      </c>
      <c r="K1136" s="3">
        <v>25</v>
      </c>
      <c r="L1136" s="3">
        <v>21</v>
      </c>
      <c r="M1136" s="3">
        <v>0</v>
      </c>
      <c r="N1136" s="3">
        <v>3</v>
      </c>
      <c r="O1136" s="3">
        <v>1</v>
      </c>
      <c r="P1136" s="3">
        <f t="shared" si="0"/>
        <v>0</v>
      </c>
      <c r="Q1136" s="3">
        <f t="shared" si="1"/>
        <v>95.4545454545455</v>
      </c>
      <c r="R1136" s="3">
        <f t="shared" si="2"/>
        <v>4.54545454545455</v>
      </c>
      <c r="S1136" s="11"/>
    </row>
    <row r="1137" ht="13.5" customHeight="1" spans="1:19">
      <c r="A1137" s="4" t="s">
        <v>42</v>
      </c>
      <c r="B1137" s="3">
        <v>1441</v>
      </c>
      <c r="C1137" s="3">
        <v>9420</v>
      </c>
      <c r="D1137" s="3">
        <v>0.1</v>
      </c>
      <c r="E1137" s="4" t="s">
        <v>33</v>
      </c>
      <c r="F1137" s="4" t="s">
        <v>123</v>
      </c>
      <c r="G1137" s="4" t="s">
        <v>124</v>
      </c>
      <c r="H1137" s="4" t="s">
        <v>40</v>
      </c>
      <c r="I1137" s="4" t="s">
        <v>156</v>
      </c>
      <c r="J1137" s="3">
        <v>4</v>
      </c>
      <c r="K1137" s="3">
        <v>25</v>
      </c>
      <c r="L1137" s="3">
        <v>17</v>
      </c>
      <c r="M1137" s="3">
        <v>3</v>
      </c>
      <c r="N1137" s="3">
        <v>2</v>
      </c>
      <c r="O1137" s="3">
        <v>3</v>
      </c>
      <c r="P1137" s="3">
        <f t="shared" si="0"/>
        <v>0</v>
      </c>
      <c r="Q1137" s="3">
        <f t="shared" si="1"/>
        <v>73.9130434782609</v>
      </c>
      <c r="R1137" s="3">
        <f t="shared" si="2"/>
        <v>13.0434782608696</v>
      </c>
      <c r="S1137" s="11"/>
    </row>
    <row r="1138" ht="13.5" customHeight="1" spans="1:21">
      <c r="A1138" s="4" t="s">
        <v>84</v>
      </c>
      <c r="B1138" s="3">
        <v>1177</v>
      </c>
      <c r="C1138" s="3">
        <v>8175</v>
      </c>
      <c r="D1138" s="3">
        <v>0.1</v>
      </c>
      <c r="E1138" s="4" t="s">
        <v>33</v>
      </c>
      <c r="F1138" s="4" t="s">
        <v>123</v>
      </c>
      <c r="G1138" s="4" t="s">
        <v>124</v>
      </c>
      <c r="H1138" s="4" t="s">
        <v>40</v>
      </c>
      <c r="I1138" s="4" t="s">
        <v>156</v>
      </c>
      <c r="J1138" s="3">
        <v>1</v>
      </c>
      <c r="K1138" s="3">
        <v>25</v>
      </c>
      <c r="L1138" s="3">
        <v>11</v>
      </c>
      <c r="M1138" s="3">
        <v>0</v>
      </c>
      <c r="N1138" s="3">
        <v>11</v>
      </c>
      <c r="O1138" s="3">
        <v>3</v>
      </c>
      <c r="P1138" s="3">
        <f t="shared" si="0"/>
        <v>0</v>
      </c>
      <c r="Q1138" s="3">
        <f t="shared" si="1"/>
        <v>78.5714285714286</v>
      </c>
      <c r="R1138" s="3">
        <f t="shared" si="2"/>
        <v>21.4285714285714</v>
      </c>
      <c r="S1138" s="11">
        <f>AVERAGE(Q1138:Q1141)</f>
        <v>75.7396708683473</v>
      </c>
      <c r="T1138" s="7">
        <f>AVERAGE(R1138:R1141)</f>
        <v>10.9126984126984</v>
      </c>
      <c r="U1138" s="8">
        <f>(L1138+L1139+L1140+L1141+O1138+O1139+O1140+O1141)/(K1138+K1139+K1140+K1141)*100</f>
        <v>56</v>
      </c>
    </row>
    <row r="1139" ht="13.5" customHeight="1" spans="1:19">
      <c r="A1139" s="4" t="s">
        <v>84</v>
      </c>
      <c r="B1139" s="3">
        <v>1177</v>
      </c>
      <c r="C1139" s="3">
        <v>8175</v>
      </c>
      <c r="D1139" s="3">
        <v>0.1</v>
      </c>
      <c r="E1139" s="4" t="s">
        <v>33</v>
      </c>
      <c r="F1139" s="4" t="s">
        <v>123</v>
      </c>
      <c r="G1139" s="4" t="s">
        <v>124</v>
      </c>
      <c r="H1139" s="4" t="s">
        <v>40</v>
      </c>
      <c r="I1139" s="4" t="s">
        <v>156</v>
      </c>
      <c r="J1139" s="3">
        <v>2</v>
      </c>
      <c r="K1139" s="3">
        <v>25</v>
      </c>
      <c r="L1139" s="3">
        <v>12</v>
      </c>
      <c r="M1139" s="3">
        <v>2</v>
      </c>
      <c r="N1139" s="3">
        <v>7</v>
      </c>
      <c r="O1139" s="3">
        <v>4</v>
      </c>
      <c r="P1139" s="3">
        <f t="shared" si="0"/>
        <v>0</v>
      </c>
      <c r="Q1139" s="3">
        <f t="shared" si="1"/>
        <v>66.6666666666667</v>
      </c>
      <c r="R1139" s="3">
        <f t="shared" si="2"/>
        <v>22.2222222222222</v>
      </c>
      <c r="S1139" s="11"/>
    </row>
    <row r="1140" ht="13.5" customHeight="1" spans="1:19">
      <c r="A1140" s="4" t="s">
        <v>84</v>
      </c>
      <c r="B1140" s="3">
        <v>1177</v>
      </c>
      <c r="C1140" s="3">
        <v>8175</v>
      </c>
      <c r="D1140" s="3">
        <v>0.1</v>
      </c>
      <c r="E1140" s="4" t="s">
        <v>33</v>
      </c>
      <c r="F1140" s="4" t="s">
        <v>123</v>
      </c>
      <c r="G1140" s="4" t="s">
        <v>124</v>
      </c>
      <c r="H1140" s="4" t="s">
        <v>40</v>
      </c>
      <c r="I1140" s="4" t="s">
        <v>156</v>
      </c>
      <c r="J1140" s="3">
        <v>3</v>
      </c>
      <c r="K1140" s="3">
        <v>25</v>
      </c>
      <c r="L1140" s="3">
        <v>13</v>
      </c>
      <c r="M1140" s="3">
        <v>3</v>
      </c>
      <c r="N1140" s="3">
        <v>9</v>
      </c>
      <c r="O1140" s="3">
        <v>0</v>
      </c>
      <c r="P1140" s="3">
        <f t="shared" si="0"/>
        <v>0</v>
      </c>
      <c r="Q1140" s="3">
        <f t="shared" si="1"/>
        <v>81.25</v>
      </c>
      <c r="R1140" s="3">
        <f t="shared" si="2"/>
        <v>0</v>
      </c>
      <c r="S1140" s="11"/>
    </row>
    <row r="1141" ht="13.5" customHeight="1" spans="1:19">
      <c r="A1141" s="4" t="s">
        <v>84</v>
      </c>
      <c r="B1141" s="3">
        <v>1177</v>
      </c>
      <c r="C1141" s="3">
        <v>8175</v>
      </c>
      <c r="D1141" s="3">
        <v>0.1</v>
      </c>
      <c r="E1141" s="4" t="s">
        <v>33</v>
      </c>
      <c r="F1141" s="4" t="s">
        <v>123</v>
      </c>
      <c r="G1141" s="4" t="s">
        <v>124</v>
      </c>
      <c r="H1141" s="4" t="s">
        <v>40</v>
      </c>
      <c r="I1141" s="4" t="s">
        <v>156</v>
      </c>
      <c r="J1141" s="3">
        <v>4</v>
      </c>
      <c r="K1141" s="3">
        <v>25</v>
      </c>
      <c r="L1141" s="3">
        <v>13</v>
      </c>
      <c r="M1141" s="3">
        <v>4</v>
      </c>
      <c r="N1141" s="3">
        <v>8</v>
      </c>
      <c r="O1141" s="3">
        <v>0</v>
      </c>
      <c r="P1141" s="3">
        <f t="shared" si="0"/>
        <v>0</v>
      </c>
      <c r="Q1141" s="3">
        <f t="shared" si="1"/>
        <v>76.4705882352941</v>
      </c>
      <c r="R1141" s="3">
        <f t="shared" si="2"/>
        <v>0</v>
      </c>
      <c r="S1141" s="11"/>
    </row>
    <row r="1142" ht="13.5" customHeight="1" spans="1:21">
      <c r="A1142" s="4" t="s">
        <v>120</v>
      </c>
      <c r="B1142" s="3">
        <v>1147</v>
      </c>
      <c r="C1142" s="3">
        <v>7497</v>
      </c>
      <c r="D1142" s="3">
        <v>0.1</v>
      </c>
      <c r="E1142" s="4" t="s">
        <v>22</v>
      </c>
      <c r="F1142" s="4" t="s">
        <v>119</v>
      </c>
      <c r="G1142" s="4" t="s">
        <v>119</v>
      </c>
      <c r="H1142" s="4" t="s">
        <v>25</v>
      </c>
      <c r="I1142" s="4" t="s">
        <v>156</v>
      </c>
      <c r="J1142" s="3">
        <v>1</v>
      </c>
      <c r="K1142" s="3">
        <v>20</v>
      </c>
      <c r="L1142" s="3">
        <v>20</v>
      </c>
      <c r="M1142" s="3">
        <v>0</v>
      </c>
      <c r="N1142" s="3">
        <v>0</v>
      </c>
      <c r="O1142" s="3">
        <v>0</v>
      </c>
      <c r="P1142" s="3">
        <f t="shared" si="0"/>
        <v>0</v>
      </c>
      <c r="Q1142" s="3">
        <f t="shared" si="1"/>
        <v>100</v>
      </c>
      <c r="R1142" s="3">
        <f t="shared" si="2"/>
        <v>0</v>
      </c>
      <c r="S1142" s="11">
        <f>AVERAGE(Q1142:Q1145)</f>
        <v>100</v>
      </c>
      <c r="T1142" s="7">
        <f>AVERAGE(R1142:R1145)</f>
        <v>0</v>
      </c>
      <c r="U1142" s="8">
        <f>(L1142+L1143+L1144+L1145+O1142+O1143+O1144+O1145)/(K1142+K1143+K1144+K1145)*100</f>
        <v>100</v>
      </c>
    </row>
    <row r="1143" ht="13.5" customHeight="1" spans="1:19">
      <c r="A1143" s="4" t="s">
        <v>120</v>
      </c>
      <c r="B1143" s="3">
        <v>1147</v>
      </c>
      <c r="C1143" s="3">
        <v>7497</v>
      </c>
      <c r="D1143" s="3">
        <v>0.1</v>
      </c>
      <c r="E1143" s="4" t="s">
        <v>22</v>
      </c>
      <c r="F1143" s="4" t="s">
        <v>119</v>
      </c>
      <c r="G1143" s="4" t="s">
        <v>119</v>
      </c>
      <c r="H1143" s="4" t="s">
        <v>25</v>
      </c>
      <c r="I1143" s="4" t="s">
        <v>156</v>
      </c>
      <c r="J1143" s="3">
        <v>2</v>
      </c>
      <c r="K1143" s="3">
        <v>20</v>
      </c>
      <c r="L1143" s="3">
        <v>20</v>
      </c>
      <c r="M1143" s="3">
        <v>0</v>
      </c>
      <c r="N1143" s="3">
        <v>0</v>
      </c>
      <c r="O1143" s="3">
        <v>0</v>
      </c>
      <c r="P1143" s="3">
        <f t="shared" si="0"/>
        <v>0</v>
      </c>
      <c r="Q1143" s="3">
        <f t="shared" si="1"/>
        <v>100</v>
      </c>
      <c r="R1143" s="3">
        <f t="shared" si="2"/>
        <v>0</v>
      </c>
      <c r="S1143" s="11"/>
    </row>
    <row r="1144" ht="13.5" customHeight="1" spans="1:19">
      <c r="A1144" s="4" t="s">
        <v>120</v>
      </c>
      <c r="B1144" s="3">
        <v>1147</v>
      </c>
      <c r="C1144" s="3">
        <v>7497</v>
      </c>
      <c r="D1144" s="3">
        <v>0.1</v>
      </c>
      <c r="E1144" s="4" t="s">
        <v>22</v>
      </c>
      <c r="F1144" s="4" t="s">
        <v>119</v>
      </c>
      <c r="G1144" s="4" t="s">
        <v>119</v>
      </c>
      <c r="H1144" s="4" t="s">
        <v>25</v>
      </c>
      <c r="I1144" s="4" t="s">
        <v>156</v>
      </c>
      <c r="J1144" s="3">
        <v>3</v>
      </c>
      <c r="K1144" s="3">
        <v>20</v>
      </c>
      <c r="L1144" s="3">
        <v>20</v>
      </c>
      <c r="M1144" s="3">
        <v>0</v>
      </c>
      <c r="N1144" s="3">
        <v>0</v>
      </c>
      <c r="O1144" s="3">
        <v>0</v>
      </c>
      <c r="P1144" s="3">
        <f t="shared" si="0"/>
        <v>0</v>
      </c>
      <c r="Q1144" s="3">
        <f t="shared" si="1"/>
        <v>100</v>
      </c>
      <c r="R1144" s="3">
        <f t="shared" si="2"/>
        <v>0</v>
      </c>
      <c r="S1144" s="11"/>
    </row>
    <row r="1145" ht="13.5" customHeight="1" spans="1:19">
      <c r="A1145" s="4" t="s">
        <v>120</v>
      </c>
      <c r="B1145" s="3">
        <v>1147</v>
      </c>
      <c r="C1145" s="3">
        <v>7497</v>
      </c>
      <c r="D1145" s="3">
        <v>0.1</v>
      </c>
      <c r="E1145" s="4" t="s">
        <v>22</v>
      </c>
      <c r="F1145" s="4" t="s">
        <v>119</v>
      </c>
      <c r="G1145" s="4" t="s">
        <v>119</v>
      </c>
      <c r="H1145" s="4" t="s">
        <v>25</v>
      </c>
      <c r="I1145" s="4" t="s">
        <v>156</v>
      </c>
      <c r="J1145" s="3">
        <v>4</v>
      </c>
      <c r="K1145" s="3">
        <v>20</v>
      </c>
      <c r="L1145" s="3">
        <v>20</v>
      </c>
      <c r="M1145" s="3">
        <v>0</v>
      </c>
      <c r="N1145" s="3">
        <v>0</v>
      </c>
      <c r="O1145" s="3">
        <v>0</v>
      </c>
      <c r="P1145" s="3">
        <f t="shared" si="0"/>
        <v>0</v>
      </c>
      <c r="Q1145" s="3">
        <f t="shared" si="1"/>
        <v>100</v>
      </c>
      <c r="R1145" s="3">
        <f t="shared" si="2"/>
        <v>0</v>
      </c>
      <c r="S1145" s="11"/>
    </row>
    <row r="1146" ht="13.5" customHeight="1" spans="1:21">
      <c r="A1146" s="4" t="s">
        <v>42</v>
      </c>
      <c r="B1146" s="3">
        <v>1441</v>
      </c>
      <c r="C1146" s="3">
        <v>9420</v>
      </c>
      <c r="D1146" s="3">
        <v>0.1</v>
      </c>
      <c r="E1146" s="4" t="s">
        <v>22</v>
      </c>
      <c r="F1146" s="4" t="s">
        <v>119</v>
      </c>
      <c r="G1146" s="4" t="s">
        <v>119</v>
      </c>
      <c r="H1146" s="4" t="s">
        <v>25</v>
      </c>
      <c r="I1146" s="4" t="s">
        <v>156</v>
      </c>
      <c r="J1146" s="3">
        <v>1</v>
      </c>
      <c r="K1146" s="3">
        <v>25</v>
      </c>
      <c r="L1146" s="3">
        <v>25</v>
      </c>
      <c r="M1146" s="3">
        <v>0</v>
      </c>
      <c r="N1146" s="3">
        <v>0</v>
      </c>
      <c r="O1146" s="3">
        <v>0</v>
      </c>
      <c r="P1146" s="3">
        <f t="shared" si="0"/>
        <v>0</v>
      </c>
      <c r="Q1146" s="3">
        <f t="shared" si="1"/>
        <v>100</v>
      </c>
      <c r="R1146" s="3">
        <f t="shared" si="2"/>
        <v>0</v>
      </c>
      <c r="S1146" s="11">
        <f>AVERAGE(Q1146:Q1149)</f>
        <v>100</v>
      </c>
      <c r="T1146" s="7">
        <f>AVERAGE(R1146:R1149)</f>
        <v>0</v>
      </c>
      <c r="U1146" s="8">
        <f>(L1146+L1147+L1148+L1149+O1146+O1147+O1148+O1149)/(K1146+K1147+K1148+K1149)*100</f>
        <v>99</v>
      </c>
    </row>
    <row r="1147" ht="13.5" customHeight="1" spans="1:19">
      <c r="A1147" s="4" t="s">
        <v>42</v>
      </c>
      <c r="B1147" s="3">
        <v>1441</v>
      </c>
      <c r="C1147" s="3">
        <v>9420</v>
      </c>
      <c r="D1147" s="3">
        <v>0.1</v>
      </c>
      <c r="E1147" s="4" t="s">
        <v>22</v>
      </c>
      <c r="F1147" s="4" t="s">
        <v>119</v>
      </c>
      <c r="G1147" s="4" t="s">
        <v>119</v>
      </c>
      <c r="H1147" s="4" t="s">
        <v>25</v>
      </c>
      <c r="I1147" s="4" t="s">
        <v>156</v>
      </c>
      <c r="J1147" s="3">
        <v>2</v>
      </c>
      <c r="K1147" s="3">
        <v>25</v>
      </c>
      <c r="L1147" s="3">
        <v>25</v>
      </c>
      <c r="M1147" s="3">
        <v>0</v>
      </c>
      <c r="N1147" s="3">
        <v>0</v>
      </c>
      <c r="O1147" s="3">
        <v>0</v>
      </c>
      <c r="P1147" s="3">
        <f t="shared" si="0"/>
        <v>0</v>
      </c>
      <c r="Q1147" s="3">
        <f t="shared" si="1"/>
        <v>100</v>
      </c>
      <c r="R1147" s="3">
        <f t="shared" si="2"/>
        <v>0</v>
      </c>
      <c r="S1147" s="11"/>
    </row>
    <row r="1148" ht="13.5" customHeight="1" spans="1:19">
      <c r="A1148" s="4" t="s">
        <v>42</v>
      </c>
      <c r="B1148" s="3">
        <v>1441</v>
      </c>
      <c r="C1148" s="3">
        <v>9420</v>
      </c>
      <c r="D1148" s="3">
        <v>0.1</v>
      </c>
      <c r="E1148" s="4" t="s">
        <v>22</v>
      </c>
      <c r="F1148" s="4" t="s">
        <v>119</v>
      </c>
      <c r="G1148" s="4" t="s">
        <v>119</v>
      </c>
      <c r="H1148" s="4" t="s">
        <v>25</v>
      </c>
      <c r="I1148" s="4" t="s">
        <v>156</v>
      </c>
      <c r="J1148" s="3">
        <v>3</v>
      </c>
      <c r="K1148" s="3">
        <v>25</v>
      </c>
      <c r="L1148" s="3">
        <v>25</v>
      </c>
      <c r="M1148" s="3">
        <v>0</v>
      </c>
      <c r="N1148" s="3">
        <v>0</v>
      </c>
      <c r="O1148" s="3">
        <v>0</v>
      </c>
      <c r="P1148" s="3">
        <f t="shared" si="0"/>
        <v>0</v>
      </c>
      <c r="Q1148" s="3">
        <f t="shared" si="1"/>
        <v>100</v>
      </c>
      <c r="R1148" s="3">
        <f t="shared" si="2"/>
        <v>0</v>
      </c>
      <c r="S1148" s="11"/>
    </row>
    <row r="1149" ht="13.5" customHeight="1" spans="1:19">
      <c r="A1149" s="4" t="s">
        <v>42</v>
      </c>
      <c r="B1149" s="3">
        <v>1441</v>
      </c>
      <c r="C1149" s="3">
        <v>9420</v>
      </c>
      <c r="D1149" s="3">
        <v>0.1</v>
      </c>
      <c r="E1149" s="4" t="s">
        <v>22</v>
      </c>
      <c r="F1149" s="4" t="s">
        <v>119</v>
      </c>
      <c r="G1149" s="4" t="s">
        <v>119</v>
      </c>
      <c r="H1149" s="4" t="s">
        <v>25</v>
      </c>
      <c r="I1149" s="4" t="s">
        <v>156</v>
      </c>
      <c r="J1149" s="3">
        <v>4</v>
      </c>
      <c r="K1149" s="3">
        <v>25</v>
      </c>
      <c r="L1149" s="3">
        <v>24</v>
      </c>
      <c r="M1149" s="3">
        <v>0</v>
      </c>
      <c r="N1149" s="3">
        <v>1</v>
      </c>
      <c r="O1149" s="3">
        <v>0</v>
      </c>
      <c r="P1149" s="3">
        <f t="shared" si="0"/>
        <v>0</v>
      </c>
      <c r="Q1149" s="3">
        <f t="shared" si="1"/>
        <v>100</v>
      </c>
      <c r="R1149" s="3">
        <f t="shared" si="2"/>
        <v>0</v>
      </c>
      <c r="S1149" s="11"/>
    </row>
    <row r="1150" ht="13.5" customHeight="1" spans="1:21">
      <c r="A1150" s="4" t="s">
        <v>46</v>
      </c>
      <c r="B1150" s="3">
        <v>1270</v>
      </c>
      <c r="C1150" s="3">
        <v>8757</v>
      </c>
      <c r="D1150" s="3">
        <v>0.1</v>
      </c>
      <c r="E1150" s="4" t="s">
        <v>22</v>
      </c>
      <c r="F1150" s="4" t="s">
        <v>119</v>
      </c>
      <c r="G1150" s="4" t="s">
        <v>119</v>
      </c>
      <c r="H1150" s="4" t="s">
        <v>25</v>
      </c>
      <c r="I1150" s="4" t="s">
        <v>156</v>
      </c>
      <c r="J1150" s="3">
        <v>1</v>
      </c>
      <c r="K1150" s="3">
        <v>25</v>
      </c>
      <c r="L1150" s="3">
        <v>25</v>
      </c>
      <c r="M1150" s="3">
        <v>0</v>
      </c>
      <c r="N1150" s="3">
        <v>0</v>
      </c>
      <c r="O1150" s="3">
        <v>0</v>
      </c>
      <c r="P1150" s="3">
        <f t="shared" si="0"/>
        <v>0</v>
      </c>
      <c r="Q1150" s="3">
        <f t="shared" si="1"/>
        <v>100</v>
      </c>
      <c r="R1150" s="3">
        <f t="shared" si="2"/>
        <v>0</v>
      </c>
      <c r="S1150" s="11">
        <f>AVERAGE(Q1150:Q1153)</f>
        <v>100</v>
      </c>
      <c r="T1150" s="7">
        <f>AVERAGE(R1150:R1153)</f>
        <v>0</v>
      </c>
      <c r="U1150" s="8">
        <f>(L1150+L1151+L1152+L1153+O1150+O1151+O1152+O1153)/(K1150+K1151+K1152+K1153)*100</f>
        <v>100</v>
      </c>
    </row>
    <row r="1151" ht="13.5" customHeight="1" spans="1:19">
      <c r="A1151" s="4" t="s">
        <v>46</v>
      </c>
      <c r="B1151" s="3">
        <v>1270</v>
      </c>
      <c r="C1151" s="3">
        <v>8757</v>
      </c>
      <c r="D1151" s="3">
        <v>0.1</v>
      </c>
      <c r="E1151" s="4" t="s">
        <v>22</v>
      </c>
      <c r="F1151" s="4" t="s">
        <v>119</v>
      </c>
      <c r="G1151" s="4" t="s">
        <v>119</v>
      </c>
      <c r="H1151" s="4" t="s">
        <v>25</v>
      </c>
      <c r="I1151" s="4" t="s">
        <v>156</v>
      </c>
      <c r="J1151" s="3">
        <v>2</v>
      </c>
      <c r="K1151" s="3">
        <v>25</v>
      </c>
      <c r="L1151" s="3">
        <v>25</v>
      </c>
      <c r="M1151" s="3">
        <v>0</v>
      </c>
      <c r="N1151" s="3">
        <v>0</v>
      </c>
      <c r="O1151" s="3">
        <v>0</v>
      </c>
      <c r="P1151" s="3">
        <f t="shared" si="0"/>
        <v>0</v>
      </c>
      <c r="Q1151" s="3">
        <f t="shared" si="1"/>
        <v>100</v>
      </c>
      <c r="R1151" s="3">
        <f t="shared" si="2"/>
        <v>0</v>
      </c>
      <c r="S1151" s="11"/>
    </row>
    <row r="1152" ht="13.5" customHeight="1" spans="1:19">
      <c r="A1152" s="4" t="s">
        <v>46</v>
      </c>
      <c r="B1152" s="3">
        <v>1270</v>
      </c>
      <c r="C1152" s="3">
        <v>8757</v>
      </c>
      <c r="D1152" s="3">
        <v>0.1</v>
      </c>
      <c r="E1152" s="4" t="s">
        <v>22</v>
      </c>
      <c r="F1152" s="4" t="s">
        <v>119</v>
      </c>
      <c r="G1152" s="4" t="s">
        <v>119</v>
      </c>
      <c r="H1152" s="4" t="s">
        <v>25</v>
      </c>
      <c r="I1152" s="4" t="s">
        <v>156</v>
      </c>
      <c r="J1152" s="3">
        <v>3</v>
      </c>
      <c r="K1152" s="3">
        <v>25</v>
      </c>
      <c r="L1152" s="3">
        <v>25</v>
      </c>
      <c r="M1152" s="3">
        <v>0</v>
      </c>
      <c r="N1152" s="3">
        <v>0</v>
      </c>
      <c r="O1152" s="3">
        <v>0</v>
      </c>
      <c r="P1152" s="3">
        <f t="shared" si="0"/>
        <v>0</v>
      </c>
      <c r="Q1152" s="3">
        <f t="shared" si="1"/>
        <v>100</v>
      </c>
      <c r="R1152" s="3">
        <f t="shared" si="2"/>
        <v>0</v>
      </c>
      <c r="S1152" s="11"/>
    </row>
    <row r="1153" ht="13.5" customHeight="1" spans="1:19">
      <c r="A1153" s="4" t="s">
        <v>46</v>
      </c>
      <c r="B1153" s="3">
        <v>1270</v>
      </c>
      <c r="C1153" s="3">
        <v>8757</v>
      </c>
      <c r="D1153" s="3">
        <v>0.1</v>
      </c>
      <c r="E1153" s="4" t="s">
        <v>22</v>
      </c>
      <c r="F1153" s="4" t="s">
        <v>119</v>
      </c>
      <c r="G1153" s="4" t="s">
        <v>119</v>
      </c>
      <c r="H1153" s="4" t="s">
        <v>25</v>
      </c>
      <c r="I1153" s="4" t="s">
        <v>156</v>
      </c>
      <c r="J1153" s="3">
        <v>4</v>
      </c>
      <c r="K1153" s="3">
        <v>25</v>
      </c>
      <c r="L1153" s="3">
        <v>25</v>
      </c>
      <c r="M1153" s="3">
        <v>0</v>
      </c>
      <c r="N1153" s="3">
        <v>0</v>
      </c>
      <c r="O1153" s="3">
        <v>0</v>
      </c>
      <c r="P1153" s="3">
        <f t="shared" si="0"/>
        <v>0</v>
      </c>
      <c r="Q1153" s="3">
        <f t="shared" si="1"/>
        <v>100</v>
      </c>
      <c r="R1153" s="3">
        <f t="shared" si="2"/>
        <v>0</v>
      </c>
      <c r="S1153" s="11"/>
    </row>
    <row r="1154" ht="13.5" customHeight="1" spans="1:21">
      <c r="A1154" s="4" t="s">
        <v>47</v>
      </c>
      <c r="B1154" s="3">
        <v>1504</v>
      </c>
      <c r="C1154" s="3">
        <v>9859</v>
      </c>
      <c r="D1154" s="3">
        <v>0.1</v>
      </c>
      <c r="E1154" s="4" t="s">
        <v>22</v>
      </c>
      <c r="F1154" s="4" t="s">
        <v>51</v>
      </c>
      <c r="G1154" s="4" t="s">
        <v>51</v>
      </c>
      <c r="H1154" s="4" t="s">
        <v>25</v>
      </c>
      <c r="I1154" s="4" t="s">
        <v>156</v>
      </c>
      <c r="J1154" s="3">
        <v>1</v>
      </c>
      <c r="K1154" s="3">
        <v>25</v>
      </c>
      <c r="L1154" s="3">
        <v>25</v>
      </c>
      <c r="M1154" s="3">
        <v>0</v>
      </c>
      <c r="N1154" s="3">
        <v>0</v>
      </c>
      <c r="O1154" s="3">
        <v>0</v>
      </c>
      <c r="P1154" s="3">
        <f t="shared" si="0"/>
        <v>0</v>
      </c>
      <c r="Q1154" s="3">
        <f t="shared" si="1"/>
        <v>100</v>
      </c>
      <c r="R1154" s="3">
        <f t="shared" si="2"/>
        <v>0</v>
      </c>
      <c r="S1154" s="11">
        <f>AVERAGE(Q1154:Q1157)</f>
        <v>100</v>
      </c>
      <c r="T1154" s="7">
        <f>AVERAGE(R1154:R1157)</f>
        <v>0</v>
      </c>
      <c r="U1154" s="8">
        <f>(L1154+L1155+L1156+L1157+O1154+O1155+O1156+O1157)/(K1154+K1155+K1156+K1157)*100</f>
        <v>100</v>
      </c>
    </row>
    <row r="1155" ht="13.5" customHeight="1" spans="1:19">
      <c r="A1155" s="4" t="s">
        <v>47</v>
      </c>
      <c r="B1155" s="3">
        <v>1504</v>
      </c>
      <c r="C1155" s="3">
        <v>9859</v>
      </c>
      <c r="D1155" s="3">
        <v>0.1</v>
      </c>
      <c r="E1155" s="4" t="s">
        <v>22</v>
      </c>
      <c r="F1155" s="4" t="s">
        <v>51</v>
      </c>
      <c r="G1155" s="4" t="s">
        <v>51</v>
      </c>
      <c r="H1155" s="4" t="s">
        <v>25</v>
      </c>
      <c r="I1155" s="4" t="s">
        <v>156</v>
      </c>
      <c r="J1155" s="3">
        <v>2</v>
      </c>
      <c r="K1155" s="3">
        <v>25</v>
      </c>
      <c r="L1155" s="3">
        <v>25</v>
      </c>
      <c r="M1155" s="3">
        <v>0</v>
      </c>
      <c r="N1155" s="3">
        <v>0</v>
      </c>
      <c r="O1155" s="3">
        <v>0</v>
      </c>
      <c r="P1155" s="3">
        <f t="shared" si="0"/>
        <v>0</v>
      </c>
      <c r="Q1155" s="3">
        <f t="shared" si="1"/>
        <v>100</v>
      </c>
      <c r="R1155" s="3">
        <f t="shared" si="2"/>
        <v>0</v>
      </c>
      <c r="S1155" s="11"/>
    </row>
    <row r="1156" ht="13.5" customHeight="1" spans="1:19">
      <c r="A1156" s="4" t="s">
        <v>47</v>
      </c>
      <c r="B1156" s="3">
        <v>1504</v>
      </c>
      <c r="C1156" s="3">
        <v>9859</v>
      </c>
      <c r="D1156" s="3">
        <v>0.1</v>
      </c>
      <c r="E1156" s="4" t="s">
        <v>22</v>
      </c>
      <c r="F1156" s="4" t="s">
        <v>51</v>
      </c>
      <c r="G1156" s="4" t="s">
        <v>51</v>
      </c>
      <c r="H1156" s="4" t="s">
        <v>25</v>
      </c>
      <c r="I1156" s="4" t="s">
        <v>156</v>
      </c>
      <c r="J1156" s="3">
        <v>3</v>
      </c>
      <c r="K1156" s="3">
        <v>25</v>
      </c>
      <c r="L1156" s="3">
        <v>25</v>
      </c>
      <c r="M1156" s="3">
        <v>0</v>
      </c>
      <c r="N1156" s="3">
        <v>0</v>
      </c>
      <c r="O1156" s="3">
        <v>0</v>
      </c>
      <c r="P1156" s="3">
        <f t="shared" si="0"/>
        <v>0</v>
      </c>
      <c r="Q1156" s="3">
        <f t="shared" si="1"/>
        <v>100</v>
      </c>
      <c r="R1156" s="3">
        <f t="shared" si="2"/>
        <v>0</v>
      </c>
      <c r="S1156" s="11"/>
    </row>
    <row r="1157" ht="13.5" customHeight="1" spans="1:19">
      <c r="A1157" s="4" t="s">
        <v>47</v>
      </c>
      <c r="B1157" s="3">
        <v>1504</v>
      </c>
      <c r="C1157" s="3">
        <v>9859</v>
      </c>
      <c r="D1157" s="3">
        <v>0.1</v>
      </c>
      <c r="E1157" s="4" t="s">
        <v>22</v>
      </c>
      <c r="F1157" s="4" t="s">
        <v>51</v>
      </c>
      <c r="G1157" s="4" t="s">
        <v>51</v>
      </c>
      <c r="H1157" s="4" t="s">
        <v>25</v>
      </c>
      <c r="I1157" s="4" t="s">
        <v>156</v>
      </c>
      <c r="J1157" s="3">
        <v>4</v>
      </c>
      <c r="K1157" s="3">
        <v>25</v>
      </c>
      <c r="L1157" s="3">
        <v>25</v>
      </c>
      <c r="M1157" s="3">
        <v>0</v>
      </c>
      <c r="N1157" s="3">
        <v>0</v>
      </c>
      <c r="O1157" s="3">
        <v>0</v>
      </c>
      <c r="P1157" s="3">
        <f t="shared" si="0"/>
        <v>0</v>
      </c>
      <c r="Q1157" s="3">
        <f t="shared" si="1"/>
        <v>100</v>
      </c>
      <c r="R1157" s="3">
        <f t="shared" si="2"/>
        <v>0</v>
      </c>
      <c r="S1157" s="11"/>
    </row>
    <row r="1158" ht="13.5" customHeight="1" spans="1:21">
      <c r="A1158" s="4" t="s">
        <v>120</v>
      </c>
      <c r="B1158" s="3">
        <v>1147</v>
      </c>
      <c r="C1158" s="3">
        <v>7497</v>
      </c>
      <c r="D1158" s="3">
        <v>0.1</v>
      </c>
      <c r="E1158" s="4" t="s">
        <v>22</v>
      </c>
      <c r="F1158" s="4" t="s">
        <v>51</v>
      </c>
      <c r="G1158" s="4" t="s">
        <v>51</v>
      </c>
      <c r="H1158" s="4" t="s">
        <v>25</v>
      </c>
      <c r="I1158" s="4" t="s">
        <v>156</v>
      </c>
      <c r="J1158" s="3">
        <v>1</v>
      </c>
      <c r="K1158" s="3">
        <v>25</v>
      </c>
      <c r="L1158" s="3">
        <v>25</v>
      </c>
      <c r="M1158" s="3">
        <v>0</v>
      </c>
      <c r="N1158" s="3">
        <v>0</v>
      </c>
      <c r="O1158" s="3">
        <v>0</v>
      </c>
      <c r="P1158" s="3">
        <f t="shared" si="0"/>
        <v>0</v>
      </c>
      <c r="Q1158" s="3">
        <f t="shared" si="1"/>
        <v>100</v>
      </c>
      <c r="R1158" s="3">
        <f t="shared" si="2"/>
        <v>0</v>
      </c>
      <c r="S1158" s="11">
        <f>AVERAGE(Q1158:Q1161)</f>
        <v>99</v>
      </c>
      <c r="T1158" s="7">
        <f>AVERAGE(R1158:R1161)</f>
        <v>1</v>
      </c>
      <c r="U1158" s="8">
        <f>(L1158+L1159+L1160+L1161+O1158+O1159+O1160+O1161)/(K1158+K1159+K1160+K1161)*100</f>
        <v>100</v>
      </c>
    </row>
    <row r="1159" ht="13.5" customHeight="1" spans="1:19">
      <c r="A1159" s="4" t="s">
        <v>120</v>
      </c>
      <c r="B1159" s="3">
        <v>1147</v>
      </c>
      <c r="C1159" s="3">
        <v>7497</v>
      </c>
      <c r="D1159" s="3">
        <v>0.1</v>
      </c>
      <c r="E1159" s="4" t="s">
        <v>22</v>
      </c>
      <c r="F1159" s="4" t="s">
        <v>51</v>
      </c>
      <c r="G1159" s="4" t="s">
        <v>51</v>
      </c>
      <c r="H1159" s="4" t="s">
        <v>25</v>
      </c>
      <c r="I1159" s="4" t="s">
        <v>156</v>
      </c>
      <c r="J1159" s="3">
        <v>2</v>
      </c>
      <c r="K1159" s="3">
        <v>25</v>
      </c>
      <c r="L1159" s="3">
        <v>25</v>
      </c>
      <c r="M1159" s="3">
        <v>0</v>
      </c>
      <c r="N1159" s="3">
        <v>0</v>
      </c>
      <c r="O1159" s="3">
        <v>0</v>
      </c>
      <c r="P1159" s="3">
        <f t="shared" si="0"/>
        <v>0</v>
      </c>
      <c r="Q1159" s="3">
        <f t="shared" si="1"/>
        <v>100</v>
      </c>
      <c r="R1159" s="3">
        <f t="shared" si="2"/>
        <v>0</v>
      </c>
      <c r="S1159" s="11"/>
    </row>
    <row r="1160" ht="13.5" customHeight="1" spans="1:19">
      <c r="A1160" s="4" t="s">
        <v>120</v>
      </c>
      <c r="B1160" s="3">
        <v>1147</v>
      </c>
      <c r="C1160" s="3">
        <v>7497</v>
      </c>
      <c r="D1160" s="3">
        <v>0.1</v>
      </c>
      <c r="E1160" s="4" t="s">
        <v>22</v>
      </c>
      <c r="F1160" s="4" t="s">
        <v>51</v>
      </c>
      <c r="G1160" s="4" t="s">
        <v>51</v>
      </c>
      <c r="H1160" s="4" t="s">
        <v>25</v>
      </c>
      <c r="I1160" s="4" t="s">
        <v>156</v>
      </c>
      <c r="J1160" s="3">
        <v>3</v>
      </c>
      <c r="K1160" s="3">
        <v>25</v>
      </c>
      <c r="L1160" s="3">
        <v>24</v>
      </c>
      <c r="M1160" s="3">
        <v>0</v>
      </c>
      <c r="N1160" s="3">
        <v>0</v>
      </c>
      <c r="O1160" s="3">
        <v>1</v>
      </c>
      <c r="P1160" s="3">
        <f t="shared" si="0"/>
        <v>0</v>
      </c>
      <c r="Q1160" s="3">
        <f t="shared" si="1"/>
        <v>96</v>
      </c>
      <c r="R1160" s="3">
        <f t="shared" si="2"/>
        <v>4</v>
      </c>
      <c r="S1160" s="11"/>
    </row>
    <row r="1161" ht="13.5" customHeight="1" spans="1:19">
      <c r="A1161" s="4" t="s">
        <v>120</v>
      </c>
      <c r="B1161" s="3">
        <v>1147</v>
      </c>
      <c r="C1161" s="3">
        <v>7497</v>
      </c>
      <c r="D1161" s="3">
        <v>0.1</v>
      </c>
      <c r="E1161" s="4" t="s">
        <v>22</v>
      </c>
      <c r="F1161" s="4" t="s">
        <v>51</v>
      </c>
      <c r="G1161" s="4" t="s">
        <v>51</v>
      </c>
      <c r="H1161" s="4" t="s">
        <v>25</v>
      </c>
      <c r="I1161" s="4" t="s">
        <v>156</v>
      </c>
      <c r="J1161" s="3">
        <v>4</v>
      </c>
      <c r="K1161" s="3">
        <v>25</v>
      </c>
      <c r="L1161" s="3">
        <v>25</v>
      </c>
      <c r="M1161" s="3">
        <v>0</v>
      </c>
      <c r="N1161" s="3">
        <v>0</v>
      </c>
      <c r="O1161" s="3">
        <v>0</v>
      </c>
      <c r="P1161" s="3">
        <f t="shared" si="0"/>
        <v>0</v>
      </c>
      <c r="Q1161" s="3">
        <f t="shared" si="1"/>
        <v>100</v>
      </c>
      <c r="R1161" s="3">
        <f t="shared" si="2"/>
        <v>0</v>
      </c>
      <c r="S1161" s="11"/>
    </row>
    <row r="1162" ht="13.5" customHeight="1" spans="1:21">
      <c r="A1162" s="4" t="s">
        <v>66</v>
      </c>
      <c r="B1162" s="3">
        <v>1153</v>
      </c>
      <c r="C1162" s="3">
        <v>7684</v>
      </c>
      <c r="D1162" s="3">
        <v>0.1</v>
      </c>
      <c r="E1162" s="4" t="s">
        <v>22</v>
      </c>
      <c r="F1162" s="4" t="s">
        <v>51</v>
      </c>
      <c r="G1162" s="4" t="s">
        <v>51</v>
      </c>
      <c r="H1162" s="4" t="s">
        <v>25</v>
      </c>
      <c r="I1162" s="4" t="s">
        <v>156</v>
      </c>
      <c r="J1162" s="3">
        <v>1</v>
      </c>
      <c r="K1162" s="3">
        <v>25</v>
      </c>
      <c r="L1162" s="3">
        <v>22</v>
      </c>
      <c r="M1162" s="3">
        <v>3</v>
      </c>
      <c r="N1162" s="3">
        <v>0</v>
      </c>
      <c r="O1162" s="3">
        <v>0</v>
      </c>
      <c r="P1162" s="3">
        <f t="shared" si="0"/>
        <v>0</v>
      </c>
      <c r="Q1162" s="3">
        <f t="shared" si="1"/>
        <v>88</v>
      </c>
      <c r="R1162" s="3">
        <f t="shared" si="2"/>
        <v>0</v>
      </c>
      <c r="S1162" s="11">
        <f>AVERAGE(Q1162:Q1165)</f>
        <v>94</v>
      </c>
      <c r="T1162" s="7">
        <f>AVERAGE(R1162:R1165)</f>
        <v>1</v>
      </c>
      <c r="U1162" s="8">
        <f>(L1162+L1163+L1164+L1165+O1162+O1163+O1164+O1165)/(K1162+K1163+K1164+K1165)*100</f>
        <v>95</v>
      </c>
    </row>
    <row r="1163" ht="13.5" customHeight="1" spans="1:19">
      <c r="A1163" s="4" t="s">
        <v>66</v>
      </c>
      <c r="B1163" s="3">
        <v>1153</v>
      </c>
      <c r="C1163" s="3">
        <v>7684</v>
      </c>
      <c r="D1163" s="3">
        <v>0.1</v>
      </c>
      <c r="E1163" s="4" t="s">
        <v>22</v>
      </c>
      <c r="F1163" s="4" t="s">
        <v>51</v>
      </c>
      <c r="G1163" s="4" t="s">
        <v>51</v>
      </c>
      <c r="H1163" s="4" t="s">
        <v>25</v>
      </c>
      <c r="I1163" s="4" t="s">
        <v>156</v>
      </c>
      <c r="J1163" s="3">
        <v>2</v>
      </c>
      <c r="K1163" s="3">
        <v>25</v>
      </c>
      <c r="L1163" s="3">
        <v>24</v>
      </c>
      <c r="M1163" s="3">
        <v>0</v>
      </c>
      <c r="N1163" s="3">
        <v>0</v>
      </c>
      <c r="O1163" s="3">
        <v>1</v>
      </c>
      <c r="P1163" s="3">
        <f t="shared" si="0"/>
        <v>0</v>
      </c>
      <c r="Q1163" s="3">
        <f t="shared" si="1"/>
        <v>96</v>
      </c>
      <c r="R1163" s="3">
        <f t="shared" si="2"/>
        <v>4</v>
      </c>
      <c r="S1163" s="11"/>
    </row>
    <row r="1164" ht="13.5" customHeight="1" spans="1:19">
      <c r="A1164" s="4" t="s">
        <v>66</v>
      </c>
      <c r="B1164" s="3">
        <v>1153</v>
      </c>
      <c r="C1164" s="3">
        <v>7684</v>
      </c>
      <c r="D1164" s="3">
        <v>0.1</v>
      </c>
      <c r="E1164" s="4" t="s">
        <v>22</v>
      </c>
      <c r="F1164" s="4" t="s">
        <v>51</v>
      </c>
      <c r="G1164" s="4" t="s">
        <v>51</v>
      </c>
      <c r="H1164" s="4" t="s">
        <v>25</v>
      </c>
      <c r="I1164" s="4" t="s">
        <v>156</v>
      </c>
      <c r="J1164" s="3">
        <v>3</v>
      </c>
      <c r="K1164" s="3">
        <v>25</v>
      </c>
      <c r="L1164" s="3">
        <v>24</v>
      </c>
      <c r="M1164" s="3">
        <v>1</v>
      </c>
      <c r="N1164" s="3">
        <v>0</v>
      </c>
      <c r="O1164" s="3">
        <v>0</v>
      </c>
      <c r="P1164" s="3">
        <f t="shared" si="0"/>
        <v>0</v>
      </c>
      <c r="Q1164" s="3">
        <f t="shared" si="1"/>
        <v>96</v>
      </c>
      <c r="R1164" s="3">
        <f t="shared" si="2"/>
        <v>0</v>
      </c>
      <c r="S1164" s="11"/>
    </row>
    <row r="1165" ht="13.5" customHeight="1" spans="1:19">
      <c r="A1165" s="4" t="s">
        <v>66</v>
      </c>
      <c r="B1165" s="3">
        <v>1153</v>
      </c>
      <c r="C1165" s="3">
        <v>7684</v>
      </c>
      <c r="D1165" s="3">
        <v>0.1</v>
      </c>
      <c r="E1165" s="4" t="s">
        <v>22</v>
      </c>
      <c r="F1165" s="4" t="s">
        <v>51</v>
      </c>
      <c r="G1165" s="4" t="s">
        <v>51</v>
      </c>
      <c r="H1165" s="4" t="s">
        <v>25</v>
      </c>
      <c r="I1165" s="4" t="s">
        <v>156</v>
      </c>
      <c r="J1165" s="3">
        <v>4</v>
      </c>
      <c r="K1165" s="3">
        <v>25</v>
      </c>
      <c r="L1165" s="3">
        <v>24</v>
      </c>
      <c r="M1165" s="3">
        <v>1</v>
      </c>
      <c r="N1165" s="3">
        <v>0</v>
      </c>
      <c r="O1165" s="3">
        <v>0</v>
      </c>
      <c r="P1165" s="3">
        <f t="shared" si="0"/>
        <v>0</v>
      </c>
      <c r="Q1165" s="3">
        <f t="shared" si="1"/>
        <v>96</v>
      </c>
      <c r="R1165" s="3">
        <f t="shared" si="2"/>
        <v>0</v>
      </c>
      <c r="S1165" s="11"/>
    </row>
    <row r="1166" ht="13.5" customHeight="1" spans="1:21">
      <c r="A1166" s="4" t="s">
        <v>118</v>
      </c>
      <c r="B1166" s="3">
        <v>1138</v>
      </c>
      <c r="C1166" s="3">
        <v>7122</v>
      </c>
      <c r="D1166" s="3">
        <v>0.1</v>
      </c>
      <c r="E1166" s="4" t="s">
        <v>22</v>
      </c>
      <c r="F1166" s="4" t="s">
        <v>51</v>
      </c>
      <c r="G1166" s="4" t="s">
        <v>51</v>
      </c>
      <c r="H1166" s="4" t="s">
        <v>25</v>
      </c>
      <c r="I1166" s="4" t="s">
        <v>156</v>
      </c>
      <c r="J1166" s="3">
        <v>1</v>
      </c>
      <c r="K1166" s="3">
        <v>25</v>
      </c>
      <c r="L1166" s="3">
        <v>25</v>
      </c>
      <c r="M1166" s="3">
        <v>0</v>
      </c>
      <c r="N1166" s="3">
        <v>0</v>
      </c>
      <c r="O1166" s="3">
        <v>0</v>
      </c>
      <c r="P1166" s="3">
        <f t="shared" si="0"/>
        <v>0</v>
      </c>
      <c r="Q1166" s="3">
        <f t="shared" si="1"/>
        <v>100</v>
      </c>
      <c r="R1166" s="3">
        <f t="shared" si="2"/>
        <v>0</v>
      </c>
      <c r="S1166" s="11">
        <f>AVERAGE(Q1166:Q1169)</f>
        <v>100</v>
      </c>
      <c r="T1166" s="7">
        <f>AVERAGE(R1166:R1169)</f>
        <v>0</v>
      </c>
      <c r="U1166" s="8">
        <f>(L1166+L1167+L1168+L1169+O1166+O1167+O1168+O1169)/(K1166+K1167+K1168+K1169)*100</f>
        <v>100</v>
      </c>
    </row>
    <row r="1167" ht="13.5" customHeight="1" spans="1:19">
      <c r="A1167" s="4" t="s">
        <v>118</v>
      </c>
      <c r="B1167" s="3">
        <v>1138</v>
      </c>
      <c r="C1167" s="3">
        <v>7122</v>
      </c>
      <c r="D1167" s="3">
        <v>0.1</v>
      </c>
      <c r="E1167" s="4" t="s">
        <v>22</v>
      </c>
      <c r="F1167" s="4" t="s">
        <v>51</v>
      </c>
      <c r="G1167" s="4" t="s">
        <v>51</v>
      </c>
      <c r="H1167" s="4" t="s">
        <v>25</v>
      </c>
      <c r="I1167" s="4" t="s">
        <v>156</v>
      </c>
      <c r="J1167" s="3">
        <v>2</v>
      </c>
      <c r="K1167" s="3">
        <v>25</v>
      </c>
      <c r="L1167" s="3">
        <v>25</v>
      </c>
      <c r="M1167" s="3">
        <v>0</v>
      </c>
      <c r="N1167" s="3">
        <v>0</v>
      </c>
      <c r="O1167" s="3">
        <v>0</v>
      </c>
      <c r="P1167" s="3">
        <f t="shared" si="0"/>
        <v>0</v>
      </c>
      <c r="Q1167" s="3">
        <f t="shared" si="1"/>
        <v>100</v>
      </c>
      <c r="R1167" s="3">
        <f t="shared" si="2"/>
        <v>0</v>
      </c>
      <c r="S1167" s="11"/>
    </row>
    <row r="1168" ht="13.5" customHeight="1" spans="1:19">
      <c r="A1168" s="4" t="s">
        <v>118</v>
      </c>
      <c r="B1168" s="3">
        <v>1138</v>
      </c>
      <c r="C1168" s="3">
        <v>7122</v>
      </c>
      <c r="D1168" s="3">
        <v>0.1</v>
      </c>
      <c r="E1168" s="4" t="s">
        <v>22</v>
      </c>
      <c r="F1168" s="4" t="s">
        <v>51</v>
      </c>
      <c r="G1168" s="4" t="s">
        <v>51</v>
      </c>
      <c r="H1168" s="4" t="s">
        <v>25</v>
      </c>
      <c r="I1168" s="4" t="s">
        <v>156</v>
      </c>
      <c r="J1168" s="3">
        <v>3</v>
      </c>
      <c r="K1168" s="3">
        <v>25</v>
      </c>
      <c r="L1168" s="3">
        <v>25</v>
      </c>
      <c r="M1168" s="3">
        <v>0</v>
      </c>
      <c r="N1168" s="3">
        <v>0</v>
      </c>
      <c r="O1168" s="3">
        <v>0</v>
      </c>
      <c r="P1168" s="3">
        <f t="shared" si="0"/>
        <v>0</v>
      </c>
      <c r="Q1168" s="3">
        <f t="shared" si="1"/>
        <v>100</v>
      </c>
      <c r="R1168" s="3">
        <f t="shared" si="2"/>
        <v>0</v>
      </c>
      <c r="S1168" s="11"/>
    </row>
    <row r="1169" ht="13.5" customHeight="1" spans="1:19">
      <c r="A1169" s="4" t="s">
        <v>118</v>
      </c>
      <c r="B1169" s="3">
        <v>1138</v>
      </c>
      <c r="C1169" s="3">
        <v>7122</v>
      </c>
      <c r="D1169" s="3">
        <v>0.1</v>
      </c>
      <c r="E1169" s="4" t="s">
        <v>22</v>
      </c>
      <c r="F1169" s="4" t="s">
        <v>51</v>
      </c>
      <c r="G1169" s="4" t="s">
        <v>51</v>
      </c>
      <c r="H1169" s="4" t="s">
        <v>25</v>
      </c>
      <c r="I1169" s="4" t="s">
        <v>156</v>
      </c>
      <c r="J1169" s="3">
        <v>4</v>
      </c>
      <c r="K1169" s="3">
        <v>25</v>
      </c>
      <c r="L1169" s="3">
        <v>25</v>
      </c>
      <c r="M1169" s="3">
        <v>0</v>
      </c>
      <c r="N1169" s="3">
        <v>0</v>
      </c>
      <c r="O1169" s="3">
        <v>0</v>
      </c>
      <c r="P1169" s="3">
        <f t="shared" si="0"/>
        <v>0</v>
      </c>
      <c r="Q1169" s="3">
        <f t="shared" si="1"/>
        <v>100</v>
      </c>
      <c r="R1169" s="3">
        <f t="shared" si="2"/>
        <v>0</v>
      </c>
      <c r="S1169" s="11"/>
    </row>
    <row r="1170" ht="13.5" customHeight="1" spans="1:21">
      <c r="A1170" s="4" t="s">
        <v>32</v>
      </c>
      <c r="B1170" s="3">
        <v>1342</v>
      </c>
      <c r="C1170" s="3">
        <v>9074</v>
      </c>
      <c r="D1170" s="3">
        <v>0.1</v>
      </c>
      <c r="E1170" s="4" t="s">
        <v>22</v>
      </c>
      <c r="F1170" s="4" t="s">
        <v>51</v>
      </c>
      <c r="G1170" s="4" t="s">
        <v>51</v>
      </c>
      <c r="H1170" s="4" t="s">
        <v>25</v>
      </c>
      <c r="I1170" s="4" t="s">
        <v>156</v>
      </c>
      <c r="J1170" s="3">
        <v>1</v>
      </c>
      <c r="K1170" s="3">
        <v>25</v>
      </c>
      <c r="L1170" s="3">
        <v>24</v>
      </c>
      <c r="M1170" s="3">
        <v>1</v>
      </c>
      <c r="N1170" s="3">
        <v>0</v>
      </c>
      <c r="O1170" s="3">
        <v>0</v>
      </c>
      <c r="P1170" s="3">
        <f t="shared" si="0"/>
        <v>0</v>
      </c>
      <c r="Q1170" s="3">
        <f t="shared" si="1"/>
        <v>96</v>
      </c>
      <c r="R1170" s="3">
        <f t="shared" si="2"/>
        <v>0</v>
      </c>
      <c r="S1170" s="11">
        <f>AVERAGE(Q1170:Q1173)</f>
        <v>95.875</v>
      </c>
      <c r="T1170" s="7">
        <f>AVERAGE(R1170:R1173)</f>
        <v>0</v>
      </c>
      <c r="U1170" s="8">
        <f>(L1170+L1171+L1172+L1173+O1170+O1171+O1172+O1173)/(K1170+K1171+K1172+K1173)*100</f>
        <v>94</v>
      </c>
    </row>
    <row r="1171" ht="13.5" customHeight="1" spans="1:19">
      <c r="A1171" s="4" t="s">
        <v>32</v>
      </c>
      <c r="B1171" s="3">
        <v>1342</v>
      </c>
      <c r="C1171" s="3">
        <v>9074</v>
      </c>
      <c r="D1171" s="3">
        <v>0.1</v>
      </c>
      <c r="E1171" s="4" t="s">
        <v>22</v>
      </c>
      <c r="F1171" s="4" t="s">
        <v>51</v>
      </c>
      <c r="G1171" s="4" t="s">
        <v>51</v>
      </c>
      <c r="H1171" s="4" t="s">
        <v>25</v>
      </c>
      <c r="I1171" s="4" t="s">
        <v>156</v>
      </c>
      <c r="J1171" s="3">
        <v>2</v>
      </c>
      <c r="K1171" s="3">
        <v>25</v>
      </c>
      <c r="L1171" s="3">
        <v>22</v>
      </c>
      <c r="M1171" s="3">
        <v>2</v>
      </c>
      <c r="N1171" s="3">
        <v>1</v>
      </c>
      <c r="O1171" s="3">
        <v>0</v>
      </c>
      <c r="P1171" s="3">
        <f t="shared" si="0"/>
        <v>0</v>
      </c>
      <c r="Q1171" s="3">
        <f t="shared" si="1"/>
        <v>91.6666666666667</v>
      </c>
      <c r="R1171" s="3">
        <f t="shared" si="2"/>
        <v>0</v>
      </c>
      <c r="S1171" s="11"/>
    </row>
    <row r="1172" ht="13.5" customHeight="1" spans="1:19">
      <c r="A1172" s="4" t="s">
        <v>32</v>
      </c>
      <c r="B1172" s="3">
        <v>1342</v>
      </c>
      <c r="C1172" s="3">
        <v>9074</v>
      </c>
      <c r="D1172" s="3">
        <v>0.1</v>
      </c>
      <c r="E1172" s="4" t="s">
        <v>22</v>
      </c>
      <c r="F1172" s="4" t="s">
        <v>51</v>
      </c>
      <c r="G1172" s="4" t="s">
        <v>51</v>
      </c>
      <c r="H1172" s="4" t="s">
        <v>25</v>
      </c>
      <c r="I1172" s="4" t="s">
        <v>156</v>
      </c>
      <c r="J1172" s="3">
        <v>3</v>
      </c>
      <c r="K1172" s="3">
        <v>25</v>
      </c>
      <c r="L1172" s="3">
        <v>25</v>
      </c>
      <c r="M1172" s="3">
        <v>0</v>
      </c>
      <c r="N1172" s="3">
        <v>0</v>
      </c>
      <c r="O1172" s="3">
        <v>0</v>
      </c>
      <c r="P1172" s="3">
        <f t="shared" si="0"/>
        <v>0</v>
      </c>
      <c r="Q1172" s="3">
        <f t="shared" si="1"/>
        <v>100</v>
      </c>
      <c r="R1172" s="3">
        <f t="shared" si="2"/>
        <v>0</v>
      </c>
      <c r="S1172" s="11"/>
    </row>
    <row r="1173" ht="13.5" customHeight="1" spans="1:19">
      <c r="A1173" s="4" t="s">
        <v>32</v>
      </c>
      <c r="B1173" s="3">
        <v>1342</v>
      </c>
      <c r="C1173" s="3">
        <v>9074</v>
      </c>
      <c r="D1173" s="3">
        <v>0.1</v>
      </c>
      <c r="E1173" s="4" t="s">
        <v>22</v>
      </c>
      <c r="F1173" s="4" t="s">
        <v>51</v>
      </c>
      <c r="G1173" s="4" t="s">
        <v>51</v>
      </c>
      <c r="H1173" s="4" t="s">
        <v>25</v>
      </c>
      <c r="I1173" s="4" t="s">
        <v>156</v>
      </c>
      <c r="J1173" s="3">
        <v>4</v>
      </c>
      <c r="K1173" s="3">
        <v>25</v>
      </c>
      <c r="L1173" s="3">
        <v>23</v>
      </c>
      <c r="M1173" s="3">
        <v>1</v>
      </c>
      <c r="N1173" s="3">
        <v>1</v>
      </c>
      <c r="O1173" s="3">
        <v>0</v>
      </c>
      <c r="P1173" s="3">
        <f t="shared" si="0"/>
        <v>0</v>
      </c>
      <c r="Q1173" s="3">
        <f t="shared" si="1"/>
        <v>95.8333333333333</v>
      </c>
      <c r="R1173" s="3">
        <f t="shared" si="2"/>
        <v>0</v>
      </c>
      <c r="S1173" s="11"/>
    </row>
    <row r="1174" ht="13.5" customHeight="1" spans="1:21">
      <c r="A1174" s="4" t="s">
        <v>42</v>
      </c>
      <c r="B1174" s="3">
        <v>1441</v>
      </c>
      <c r="C1174" s="3">
        <v>9420</v>
      </c>
      <c r="D1174" s="3">
        <v>0.1</v>
      </c>
      <c r="E1174" s="4" t="s">
        <v>22</v>
      </c>
      <c r="F1174" s="4" t="s">
        <v>51</v>
      </c>
      <c r="G1174" s="4" t="s">
        <v>51</v>
      </c>
      <c r="H1174" s="4" t="s">
        <v>25</v>
      </c>
      <c r="I1174" s="4" t="s">
        <v>156</v>
      </c>
      <c r="J1174" s="3">
        <v>1</v>
      </c>
      <c r="K1174" s="3">
        <v>25</v>
      </c>
      <c r="L1174" s="3">
        <v>25</v>
      </c>
      <c r="M1174" s="3">
        <v>0</v>
      </c>
      <c r="N1174" s="3">
        <v>0</v>
      </c>
      <c r="O1174" s="3">
        <v>0</v>
      </c>
      <c r="P1174" s="3">
        <f t="shared" si="0"/>
        <v>0</v>
      </c>
      <c r="Q1174" s="3">
        <f t="shared" si="1"/>
        <v>100</v>
      </c>
      <c r="R1174" s="3">
        <f t="shared" si="2"/>
        <v>0</v>
      </c>
      <c r="S1174" s="11">
        <f>AVERAGE(Q1174:Q1177)</f>
        <v>100</v>
      </c>
      <c r="T1174" s="7">
        <f>AVERAGE(R1174:R1177)</f>
        <v>0</v>
      </c>
      <c r="U1174" s="8">
        <f>(L1174+L1175+L1176+L1177+O1174+O1175+O1176+O1177)/(K1174+K1175+K1176+K1177)*100</f>
        <v>99</v>
      </c>
    </row>
    <row r="1175" ht="13.5" customHeight="1" spans="1:19">
      <c r="A1175" s="4" t="s">
        <v>42</v>
      </c>
      <c r="B1175" s="3">
        <v>1441</v>
      </c>
      <c r="C1175" s="3">
        <v>9420</v>
      </c>
      <c r="D1175" s="3">
        <v>0.1</v>
      </c>
      <c r="E1175" s="4" t="s">
        <v>22</v>
      </c>
      <c r="F1175" s="4" t="s">
        <v>51</v>
      </c>
      <c r="G1175" s="4" t="s">
        <v>51</v>
      </c>
      <c r="H1175" s="4" t="s">
        <v>25</v>
      </c>
      <c r="I1175" s="4" t="s">
        <v>156</v>
      </c>
      <c r="J1175" s="3">
        <v>2</v>
      </c>
      <c r="K1175" s="3">
        <v>25</v>
      </c>
      <c r="L1175" s="3">
        <v>25</v>
      </c>
      <c r="M1175" s="3">
        <v>0</v>
      </c>
      <c r="N1175" s="3">
        <v>0</v>
      </c>
      <c r="O1175" s="3">
        <v>0</v>
      </c>
      <c r="P1175" s="3">
        <f t="shared" si="0"/>
        <v>0</v>
      </c>
      <c r="Q1175" s="3">
        <f t="shared" si="1"/>
        <v>100</v>
      </c>
      <c r="R1175" s="3">
        <f t="shared" si="2"/>
        <v>0</v>
      </c>
      <c r="S1175" s="11"/>
    </row>
    <row r="1176" ht="13.5" customHeight="1" spans="1:19">
      <c r="A1176" s="4" t="s">
        <v>42</v>
      </c>
      <c r="B1176" s="3">
        <v>1441</v>
      </c>
      <c r="C1176" s="3">
        <v>9420</v>
      </c>
      <c r="D1176" s="3">
        <v>0.1</v>
      </c>
      <c r="E1176" s="4" t="s">
        <v>22</v>
      </c>
      <c r="F1176" s="4" t="s">
        <v>51</v>
      </c>
      <c r="G1176" s="4" t="s">
        <v>51</v>
      </c>
      <c r="H1176" s="4" t="s">
        <v>25</v>
      </c>
      <c r="I1176" s="4" t="s">
        <v>156</v>
      </c>
      <c r="J1176" s="3">
        <v>3</v>
      </c>
      <c r="K1176" s="3">
        <v>25</v>
      </c>
      <c r="L1176" s="3">
        <v>24</v>
      </c>
      <c r="M1176" s="3">
        <v>0</v>
      </c>
      <c r="N1176" s="3">
        <v>1</v>
      </c>
      <c r="O1176" s="3">
        <v>0</v>
      </c>
      <c r="P1176" s="3">
        <f t="shared" si="0"/>
        <v>0</v>
      </c>
      <c r="Q1176" s="3">
        <f t="shared" si="1"/>
        <v>100</v>
      </c>
      <c r="R1176" s="3">
        <f t="shared" si="2"/>
        <v>0</v>
      </c>
      <c r="S1176" s="11"/>
    </row>
    <row r="1177" ht="13.5" customHeight="1" spans="1:19">
      <c r="A1177" s="4" t="s">
        <v>42</v>
      </c>
      <c r="B1177" s="3">
        <v>1441</v>
      </c>
      <c r="C1177" s="3">
        <v>9420</v>
      </c>
      <c r="D1177" s="3">
        <v>0.1</v>
      </c>
      <c r="E1177" s="4" t="s">
        <v>22</v>
      </c>
      <c r="F1177" s="4" t="s">
        <v>51</v>
      </c>
      <c r="G1177" s="4" t="s">
        <v>51</v>
      </c>
      <c r="H1177" s="4" t="s">
        <v>25</v>
      </c>
      <c r="I1177" s="4" t="s">
        <v>156</v>
      </c>
      <c r="J1177" s="3">
        <v>4</v>
      </c>
      <c r="K1177" s="3">
        <v>25</v>
      </c>
      <c r="L1177" s="3">
        <v>25</v>
      </c>
      <c r="M1177" s="3">
        <v>0</v>
      </c>
      <c r="N1177" s="3">
        <v>0</v>
      </c>
      <c r="O1177" s="3">
        <v>0</v>
      </c>
      <c r="P1177" s="3">
        <f t="shared" si="0"/>
        <v>0</v>
      </c>
      <c r="Q1177" s="3">
        <f t="shared" si="1"/>
        <v>100</v>
      </c>
      <c r="R1177" s="3">
        <f t="shared" si="2"/>
        <v>0</v>
      </c>
      <c r="S1177" s="11"/>
    </row>
    <row r="1178" ht="13.5" customHeight="1" spans="1:21">
      <c r="A1178" s="4" t="s">
        <v>60</v>
      </c>
      <c r="B1178" s="3">
        <v>1330</v>
      </c>
      <c r="C1178" s="3">
        <v>9133</v>
      </c>
      <c r="D1178" s="3">
        <v>0.1</v>
      </c>
      <c r="E1178" s="4" t="s">
        <v>22</v>
      </c>
      <c r="F1178" s="4" t="s">
        <v>51</v>
      </c>
      <c r="G1178" s="4" t="s">
        <v>51</v>
      </c>
      <c r="H1178" s="4" t="s">
        <v>25</v>
      </c>
      <c r="I1178" s="4" t="s">
        <v>156</v>
      </c>
      <c r="J1178" s="3">
        <v>1</v>
      </c>
      <c r="K1178" s="3">
        <v>25</v>
      </c>
      <c r="L1178" s="3">
        <v>25</v>
      </c>
      <c r="M1178" s="3">
        <v>0</v>
      </c>
      <c r="N1178" s="3">
        <v>0</v>
      </c>
      <c r="O1178" s="3">
        <v>0</v>
      </c>
      <c r="P1178" s="3">
        <f t="shared" si="0"/>
        <v>0</v>
      </c>
      <c r="Q1178" s="3">
        <f t="shared" si="1"/>
        <v>100</v>
      </c>
      <c r="R1178" s="3">
        <f t="shared" si="2"/>
        <v>0</v>
      </c>
      <c r="S1178" s="11">
        <f>AVERAGE(Q1178:Q1181)</f>
        <v>100</v>
      </c>
      <c r="T1178" s="7">
        <f>AVERAGE(R1178:R1181)</f>
        <v>0</v>
      </c>
      <c r="U1178" s="8">
        <f>(L1178+L1179+L1180+L1181+O1178+O1179+O1180+O1181)/(K1178+K1179+K1180+K1181)*100</f>
        <v>100</v>
      </c>
    </row>
    <row r="1179" ht="13.5" customHeight="1" spans="1:19">
      <c r="A1179" s="4" t="s">
        <v>60</v>
      </c>
      <c r="B1179" s="3">
        <v>1330</v>
      </c>
      <c r="C1179" s="3">
        <v>9133</v>
      </c>
      <c r="D1179" s="3">
        <v>0.1</v>
      </c>
      <c r="E1179" s="4" t="s">
        <v>22</v>
      </c>
      <c r="F1179" s="4" t="s">
        <v>51</v>
      </c>
      <c r="G1179" s="4" t="s">
        <v>51</v>
      </c>
      <c r="H1179" s="4" t="s">
        <v>25</v>
      </c>
      <c r="I1179" s="4" t="s">
        <v>156</v>
      </c>
      <c r="J1179" s="3">
        <v>2</v>
      </c>
      <c r="K1179" s="3">
        <v>25</v>
      </c>
      <c r="L1179" s="3">
        <v>25</v>
      </c>
      <c r="M1179" s="3">
        <v>0</v>
      </c>
      <c r="N1179" s="3">
        <v>0</v>
      </c>
      <c r="O1179" s="3">
        <v>0</v>
      </c>
      <c r="P1179" s="3">
        <f t="shared" si="0"/>
        <v>0</v>
      </c>
      <c r="Q1179" s="3">
        <f t="shared" si="1"/>
        <v>100</v>
      </c>
      <c r="R1179" s="3">
        <f t="shared" si="2"/>
        <v>0</v>
      </c>
      <c r="S1179" s="11"/>
    </row>
    <row r="1180" ht="13.5" customHeight="1" spans="1:19">
      <c r="A1180" s="4" t="s">
        <v>60</v>
      </c>
      <c r="B1180" s="3">
        <v>1330</v>
      </c>
      <c r="C1180" s="3">
        <v>9133</v>
      </c>
      <c r="D1180" s="3">
        <v>0.1</v>
      </c>
      <c r="E1180" s="4" t="s">
        <v>22</v>
      </c>
      <c r="F1180" s="4" t="s">
        <v>51</v>
      </c>
      <c r="G1180" s="4" t="s">
        <v>51</v>
      </c>
      <c r="H1180" s="4" t="s">
        <v>25</v>
      </c>
      <c r="I1180" s="4" t="s">
        <v>156</v>
      </c>
      <c r="J1180" s="3">
        <v>3</v>
      </c>
      <c r="K1180" s="3">
        <v>25</v>
      </c>
      <c r="L1180" s="3">
        <v>25</v>
      </c>
      <c r="M1180" s="3">
        <v>0</v>
      </c>
      <c r="N1180" s="3">
        <v>0</v>
      </c>
      <c r="O1180" s="3">
        <v>0</v>
      </c>
      <c r="P1180" s="3">
        <f t="shared" si="0"/>
        <v>0</v>
      </c>
      <c r="Q1180" s="3">
        <f t="shared" si="1"/>
        <v>100</v>
      </c>
      <c r="R1180" s="3">
        <f t="shared" si="2"/>
        <v>0</v>
      </c>
      <c r="S1180" s="11"/>
    </row>
    <row r="1181" ht="13.5" customHeight="1" spans="1:19">
      <c r="A1181" s="4" t="s">
        <v>60</v>
      </c>
      <c r="B1181" s="3">
        <v>1330</v>
      </c>
      <c r="C1181" s="3">
        <v>9133</v>
      </c>
      <c r="D1181" s="3">
        <v>0.1</v>
      </c>
      <c r="E1181" s="4" t="s">
        <v>22</v>
      </c>
      <c r="F1181" s="4" t="s">
        <v>51</v>
      </c>
      <c r="G1181" s="4" t="s">
        <v>51</v>
      </c>
      <c r="H1181" s="4" t="s">
        <v>25</v>
      </c>
      <c r="I1181" s="4" t="s">
        <v>156</v>
      </c>
      <c r="J1181" s="3">
        <v>4</v>
      </c>
      <c r="K1181" s="3">
        <v>25</v>
      </c>
      <c r="L1181" s="3">
        <v>25</v>
      </c>
      <c r="M1181" s="3">
        <v>0</v>
      </c>
      <c r="N1181" s="3">
        <v>0</v>
      </c>
      <c r="O1181" s="3">
        <v>0</v>
      </c>
      <c r="P1181" s="3">
        <f t="shared" si="0"/>
        <v>0</v>
      </c>
      <c r="Q1181" s="3">
        <f t="shared" si="1"/>
        <v>100</v>
      </c>
      <c r="R1181" s="3">
        <f t="shared" si="2"/>
        <v>0</v>
      </c>
      <c r="S1181" s="11"/>
    </row>
    <row r="1182" ht="13.5" customHeight="1" spans="1:21">
      <c r="A1182" s="4" t="s">
        <v>86</v>
      </c>
      <c r="B1182" s="3">
        <v>1097</v>
      </c>
      <c r="C1182" s="3">
        <v>6679</v>
      </c>
      <c r="D1182" s="3">
        <v>0.1</v>
      </c>
      <c r="E1182" s="4" t="s">
        <v>22</v>
      </c>
      <c r="F1182" s="4" t="s">
        <v>51</v>
      </c>
      <c r="G1182" s="4" t="s">
        <v>51</v>
      </c>
      <c r="H1182" s="4" t="s">
        <v>25</v>
      </c>
      <c r="I1182" s="4" t="s">
        <v>156</v>
      </c>
      <c r="J1182" s="3">
        <v>1</v>
      </c>
      <c r="K1182" s="3">
        <v>25</v>
      </c>
      <c r="L1182" s="3">
        <v>25</v>
      </c>
      <c r="M1182" s="3">
        <v>0</v>
      </c>
      <c r="N1182" s="3">
        <v>0</v>
      </c>
      <c r="O1182" s="3">
        <v>0</v>
      </c>
      <c r="P1182" s="3">
        <f t="shared" si="0"/>
        <v>0</v>
      </c>
      <c r="Q1182" s="3">
        <f t="shared" si="1"/>
        <v>100</v>
      </c>
      <c r="R1182" s="3">
        <f t="shared" si="2"/>
        <v>0</v>
      </c>
      <c r="S1182" s="11">
        <f>AVERAGE(Q1182:Q1185)</f>
        <v>96.7391304347826</v>
      </c>
      <c r="T1182" s="7">
        <f>AVERAGE(R1182:R1185)</f>
        <v>1.08695652173913</v>
      </c>
      <c r="U1182" s="8">
        <f>(L1182+L1183+L1184+L1185+O1182+O1183+O1184+O1185)/(K1182+K1183+K1184+K1185)*100</f>
        <v>97.8723404255319</v>
      </c>
    </row>
    <row r="1183" ht="13.5" customHeight="1" spans="1:19">
      <c r="A1183" s="4" t="s">
        <v>86</v>
      </c>
      <c r="B1183" s="3">
        <v>1097</v>
      </c>
      <c r="C1183" s="3">
        <v>6679</v>
      </c>
      <c r="D1183" s="3">
        <v>0.1</v>
      </c>
      <c r="E1183" s="4" t="s">
        <v>22</v>
      </c>
      <c r="F1183" s="4" t="s">
        <v>51</v>
      </c>
      <c r="G1183" s="4" t="s">
        <v>51</v>
      </c>
      <c r="H1183" s="4" t="s">
        <v>25</v>
      </c>
      <c r="I1183" s="4" t="s">
        <v>156</v>
      </c>
      <c r="J1183" s="3">
        <v>2</v>
      </c>
      <c r="K1183" s="3">
        <v>23</v>
      </c>
      <c r="L1183" s="3">
        <v>21</v>
      </c>
      <c r="M1183" s="3">
        <v>2</v>
      </c>
      <c r="N1183" s="3">
        <v>0</v>
      </c>
      <c r="O1183" s="3">
        <v>0</v>
      </c>
      <c r="P1183" s="3">
        <f t="shared" si="0"/>
        <v>0</v>
      </c>
      <c r="Q1183" s="3">
        <f t="shared" si="1"/>
        <v>91.304347826087</v>
      </c>
      <c r="R1183" s="3">
        <f t="shared" si="2"/>
        <v>0</v>
      </c>
      <c r="S1183" s="11"/>
    </row>
    <row r="1184" ht="13.5" customHeight="1" spans="1:19">
      <c r="A1184" s="4" t="s">
        <v>86</v>
      </c>
      <c r="B1184" s="3">
        <v>1097</v>
      </c>
      <c r="C1184" s="3">
        <v>6679</v>
      </c>
      <c r="D1184" s="3">
        <v>0.1</v>
      </c>
      <c r="E1184" s="4" t="s">
        <v>22</v>
      </c>
      <c r="F1184" s="4" t="s">
        <v>51</v>
      </c>
      <c r="G1184" s="4" t="s">
        <v>51</v>
      </c>
      <c r="H1184" s="4" t="s">
        <v>25</v>
      </c>
      <c r="I1184" s="4" t="s">
        <v>156</v>
      </c>
      <c r="J1184" s="3">
        <v>3</v>
      </c>
      <c r="K1184" s="3">
        <v>23</v>
      </c>
      <c r="L1184" s="3">
        <v>22</v>
      </c>
      <c r="M1184" s="3">
        <v>0</v>
      </c>
      <c r="N1184" s="3">
        <v>0</v>
      </c>
      <c r="O1184" s="3">
        <v>1</v>
      </c>
      <c r="P1184" s="3">
        <f t="shared" si="0"/>
        <v>0</v>
      </c>
      <c r="Q1184" s="3">
        <f t="shared" si="1"/>
        <v>95.6521739130435</v>
      </c>
      <c r="R1184" s="3">
        <f t="shared" si="2"/>
        <v>4.34782608695652</v>
      </c>
      <c r="S1184" s="11"/>
    </row>
    <row r="1185" ht="13.5" customHeight="1" spans="1:19">
      <c r="A1185" s="4" t="s">
        <v>86</v>
      </c>
      <c r="B1185" s="3">
        <v>1097</v>
      </c>
      <c r="C1185" s="3">
        <v>6679</v>
      </c>
      <c r="D1185" s="3">
        <v>0.1</v>
      </c>
      <c r="E1185" s="4" t="s">
        <v>22</v>
      </c>
      <c r="F1185" s="4" t="s">
        <v>51</v>
      </c>
      <c r="G1185" s="4" t="s">
        <v>51</v>
      </c>
      <c r="H1185" s="4" t="s">
        <v>25</v>
      </c>
      <c r="I1185" s="4" t="s">
        <v>156</v>
      </c>
      <c r="J1185" s="3">
        <v>4</v>
      </c>
      <c r="K1185" s="3">
        <v>23</v>
      </c>
      <c r="L1185" s="3">
        <v>23</v>
      </c>
      <c r="M1185" s="3">
        <v>0</v>
      </c>
      <c r="N1185" s="3">
        <v>0</v>
      </c>
      <c r="O1185" s="3">
        <v>0</v>
      </c>
      <c r="P1185" s="3">
        <f t="shared" si="0"/>
        <v>0</v>
      </c>
      <c r="Q1185" s="3">
        <f t="shared" si="1"/>
        <v>100</v>
      </c>
      <c r="R1185" s="3">
        <f t="shared" si="2"/>
        <v>0</v>
      </c>
      <c r="S1185" s="11"/>
    </row>
    <row r="1186" ht="13.5" customHeight="1" spans="1:21">
      <c r="A1186" s="4" t="s">
        <v>84</v>
      </c>
      <c r="B1186" s="3">
        <v>1177</v>
      </c>
      <c r="C1186" s="3">
        <v>8175</v>
      </c>
      <c r="D1186" s="3">
        <v>0.1</v>
      </c>
      <c r="E1186" s="4" t="s">
        <v>22</v>
      </c>
      <c r="F1186" s="4" t="s">
        <v>51</v>
      </c>
      <c r="G1186" s="4" t="s">
        <v>51</v>
      </c>
      <c r="H1186" s="4" t="s">
        <v>25</v>
      </c>
      <c r="I1186" s="4" t="s">
        <v>156</v>
      </c>
      <c r="J1186" s="3">
        <v>1</v>
      </c>
      <c r="K1186" s="3">
        <v>25</v>
      </c>
      <c r="L1186" s="3">
        <v>25</v>
      </c>
      <c r="M1186" s="3">
        <v>0</v>
      </c>
      <c r="N1186" s="3">
        <v>0</v>
      </c>
      <c r="O1186" s="3">
        <v>0</v>
      </c>
      <c r="P1186" s="3">
        <f t="shared" si="0"/>
        <v>0</v>
      </c>
      <c r="Q1186" s="3">
        <f t="shared" si="1"/>
        <v>100</v>
      </c>
      <c r="R1186" s="3">
        <f t="shared" si="2"/>
        <v>0</v>
      </c>
      <c r="S1186" s="11">
        <f>AVERAGE(Q1186:Q1189)</f>
        <v>100</v>
      </c>
      <c r="T1186" s="7">
        <f>AVERAGE(R1186:R1189)</f>
        <v>0</v>
      </c>
      <c r="U1186" s="8">
        <f>(L1186+L1187+L1188+L1189+O1186+O1187+O1188+O1189)/(K1186+K1187+K1188+K1189)*100</f>
        <v>100</v>
      </c>
    </row>
    <row r="1187" ht="13.5" customHeight="1" spans="1:19">
      <c r="A1187" s="4" t="s">
        <v>84</v>
      </c>
      <c r="B1187" s="3">
        <v>1177</v>
      </c>
      <c r="C1187" s="3">
        <v>8175</v>
      </c>
      <c r="D1187" s="3">
        <v>0.1</v>
      </c>
      <c r="E1187" s="4" t="s">
        <v>22</v>
      </c>
      <c r="F1187" s="4" t="s">
        <v>51</v>
      </c>
      <c r="G1187" s="4" t="s">
        <v>51</v>
      </c>
      <c r="H1187" s="4" t="s">
        <v>25</v>
      </c>
      <c r="I1187" s="4" t="s">
        <v>156</v>
      </c>
      <c r="J1187" s="3">
        <v>2</v>
      </c>
      <c r="K1187" s="3">
        <v>25</v>
      </c>
      <c r="L1187" s="3">
        <v>25</v>
      </c>
      <c r="M1187" s="3">
        <v>0</v>
      </c>
      <c r="N1187" s="3">
        <v>0</v>
      </c>
      <c r="O1187" s="3">
        <v>0</v>
      </c>
      <c r="P1187" s="3">
        <f t="shared" si="0"/>
        <v>0</v>
      </c>
      <c r="Q1187" s="3">
        <f t="shared" si="1"/>
        <v>100</v>
      </c>
      <c r="R1187" s="3">
        <f t="shared" si="2"/>
        <v>0</v>
      </c>
      <c r="S1187" s="11"/>
    </row>
    <row r="1188" ht="13.5" customHeight="1" spans="1:19">
      <c r="A1188" s="4" t="s">
        <v>84</v>
      </c>
      <c r="B1188" s="3">
        <v>1177</v>
      </c>
      <c r="C1188" s="3">
        <v>8175</v>
      </c>
      <c r="D1188" s="3">
        <v>0.1</v>
      </c>
      <c r="E1188" s="4" t="s">
        <v>22</v>
      </c>
      <c r="F1188" s="4" t="s">
        <v>51</v>
      </c>
      <c r="G1188" s="4" t="s">
        <v>51</v>
      </c>
      <c r="H1188" s="4" t="s">
        <v>25</v>
      </c>
      <c r="I1188" s="4" t="s">
        <v>156</v>
      </c>
      <c r="J1188" s="3">
        <v>3</v>
      </c>
      <c r="K1188" s="3">
        <v>25</v>
      </c>
      <c r="L1188" s="3">
        <v>25</v>
      </c>
      <c r="M1188" s="3">
        <v>0</v>
      </c>
      <c r="N1188" s="3">
        <v>0</v>
      </c>
      <c r="O1188" s="3">
        <v>0</v>
      </c>
      <c r="P1188" s="3">
        <f t="shared" si="0"/>
        <v>0</v>
      </c>
      <c r="Q1188" s="3">
        <f t="shared" si="1"/>
        <v>100</v>
      </c>
      <c r="R1188" s="3">
        <f t="shared" si="2"/>
        <v>0</v>
      </c>
      <c r="S1188" s="11"/>
    </row>
    <row r="1189" ht="13.5" customHeight="1" spans="1:19">
      <c r="A1189" s="4" t="s">
        <v>84</v>
      </c>
      <c r="B1189" s="3">
        <v>1177</v>
      </c>
      <c r="C1189" s="3">
        <v>8175</v>
      </c>
      <c r="D1189" s="3">
        <v>0.1</v>
      </c>
      <c r="E1189" s="4" t="s">
        <v>22</v>
      </c>
      <c r="F1189" s="4" t="s">
        <v>51</v>
      </c>
      <c r="G1189" s="4" t="s">
        <v>51</v>
      </c>
      <c r="H1189" s="4" t="s">
        <v>25</v>
      </c>
      <c r="I1189" s="4" t="s">
        <v>156</v>
      </c>
      <c r="J1189" s="3">
        <v>4</v>
      </c>
      <c r="K1189" s="3">
        <v>25</v>
      </c>
      <c r="L1189" s="3">
        <v>25</v>
      </c>
      <c r="M1189" s="3">
        <v>0</v>
      </c>
      <c r="N1189" s="3">
        <v>0</v>
      </c>
      <c r="O1189" s="3">
        <v>0</v>
      </c>
      <c r="P1189" s="3">
        <f t="shared" si="0"/>
        <v>0</v>
      </c>
      <c r="Q1189" s="3">
        <f t="shared" si="1"/>
        <v>100</v>
      </c>
      <c r="R1189" s="3">
        <f t="shared" si="2"/>
        <v>0</v>
      </c>
      <c r="S1189" s="11"/>
    </row>
    <row r="1190" ht="13.5" customHeight="1" spans="1:21">
      <c r="A1190" s="4" t="s">
        <v>36</v>
      </c>
      <c r="B1190" s="3">
        <v>1294</v>
      </c>
      <c r="C1190" s="3">
        <v>8842</v>
      </c>
      <c r="D1190" s="3">
        <v>0.1</v>
      </c>
      <c r="E1190" s="4" t="s">
        <v>22</v>
      </c>
      <c r="F1190" s="4" t="s">
        <v>51</v>
      </c>
      <c r="G1190" s="4" t="s">
        <v>51</v>
      </c>
      <c r="H1190" s="4" t="s">
        <v>25</v>
      </c>
      <c r="I1190" s="4" t="s">
        <v>156</v>
      </c>
      <c r="J1190" s="3">
        <v>1</v>
      </c>
      <c r="K1190" s="3">
        <v>25</v>
      </c>
      <c r="L1190" s="3">
        <v>20</v>
      </c>
      <c r="M1190" s="3">
        <v>3</v>
      </c>
      <c r="N1190" s="3">
        <v>2</v>
      </c>
      <c r="O1190" s="3">
        <v>0</v>
      </c>
      <c r="P1190" s="3">
        <f t="shared" si="0"/>
        <v>0</v>
      </c>
      <c r="Q1190" s="3">
        <f t="shared" si="1"/>
        <v>86.9565217391304</v>
      </c>
      <c r="R1190" s="3">
        <f t="shared" si="2"/>
        <v>0</v>
      </c>
      <c r="S1190" s="11">
        <f>AVERAGE(Q1190:Q1193)</f>
        <v>91.4365942028986</v>
      </c>
      <c r="T1190" s="7">
        <f>AVERAGE(R1190:R1193)</f>
        <v>0</v>
      </c>
      <c r="U1190" s="8">
        <f>(L1190+L1191+L1192+L1193+O1190+O1191+O1192+O1193)/(K1190+K1191+K1192+K1193)*100</f>
        <v>87</v>
      </c>
    </row>
    <row r="1191" ht="13.5" customHeight="1" spans="1:19">
      <c r="A1191" s="4" t="s">
        <v>36</v>
      </c>
      <c r="B1191" s="3">
        <v>1294</v>
      </c>
      <c r="C1191" s="3">
        <v>8842</v>
      </c>
      <c r="D1191" s="3">
        <v>0.1</v>
      </c>
      <c r="E1191" s="4" t="s">
        <v>22</v>
      </c>
      <c r="F1191" s="4" t="s">
        <v>51</v>
      </c>
      <c r="G1191" s="4" t="s">
        <v>51</v>
      </c>
      <c r="H1191" s="4" t="s">
        <v>25</v>
      </c>
      <c r="I1191" s="4" t="s">
        <v>156</v>
      </c>
      <c r="J1191" s="3">
        <v>2</v>
      </c>
      <c r="K1191" s="3">
        <v>25</v>
      </c>
      <c r="L1191" s="3">
        <v>20</v>
      </c>
      <c r="M1191" s="3">
        <v>3</v>
      </c>
      <c r="N1191" s="3">
        <v>2</v>
      </c>
      <c r="O1191" s="3">
        <v>0</v>
      </c>
      <c r="P1191" s="3">
        <f t="shared" si="0"/>
        <v>0</v>
      </c>
      <c r="Q1191" s="3">
        <f t="shared" si="1"/>
        <v>86.9565217391304</v>
      </c>
      <c r="R1191" s="3">
        <f t="shared" si="2"/>
        <v>0</v>
      </c>
      <c r="S1191" s="11"/>
    </row>
    <row r="1192" ht="13.5" customHeight="1" spans="1:19">
      <c r="A1192" s="4" t="s">
        <v>36</v>
      </c>
      <c r="B1192" s="3">
        <v>1294</v>
      </c>
      <c r="C1192" s="3">
        <v>8842</v>
      </c>
      <c r="D1192" s="3">
        <v>0.1</v>
      </c>
      <c r="E1192" s="4" t="s">
        <v>22</v>
      </c>
      <c r="F1192" s="4" t="s">
        <v>51</v>
      </c>
      <c r="G1192" s="4" t="s">
        <v>51</v>
      </c>
      <c r="H1192" s="4" t="s">
        <v>25</v>
      </c>
      <c r="I1192" s="4" t="s">
        <v>156</v>
      </c>
      <c r="J1192" s="3">
        <v>3</v>
      </c>
      <c r="K1192" s="3">
        <v>25</v>
      </c>
      <c r="L1192" s="3">
        <v>23</v>
      </c>
      <c r="M1192" s="3">
        <v>1</v>
      </c>
      <c r="N1192" s="3">
        <v>1</v>
      </c>
      <c r="O1192" s="3">
        <v>0</v>
      </c>
      <c r="P1192" s="3">
        <f t="shared" si="0"/>
        <v>0</v>
      </c>
      <c r="Q1192" s="3">
        <f t="shared" si="1"/>
        <v>95.8333333333333</v>
      </c>
      <c r="R1192" s="3">
        <f t="shared" si="2"/>
        <v>0</v>
      </c>
      <c r="S1192" s="11"/>
    </row>
    <row r="1193" ht="13.5" customHeight="1" spans="1:19">
      <c r="A1193" s="4" t="s">
        <v>36</v>
      </c>
      <c r="B1193" s="3">
        <v>1294</v>
      </c>
      <c r="C1193" s="3">
        <v>8842</v>
      </c>
      <c r="D1193" s="3">
        <v>0.1</v>
      </c>
      <c r="E1193" s="4" t="s">
        <v>22</v>
      </c>
      <c r="F1193" s="4" t="s">
        <v>51</v>
      </c>
      <c r="G1193" s="4" t="s">
        <v>51</v>
      </c>
      <c r="H1193" s="4" t="s">
        <v>25</v>
      </c>
      <c r="I1193" s="4" t="s">
        <v>156</v>
      </c>
      <c r="J1193" s="3">
        <v>4</v>
      </c>
      <c r="K1193" s="3">
        <v>25</v>
      </c>
      <c r="L1193" s="3">
        <v>24</v>
      </c>
      <c r="M1193" s="3">
        <v>1</v>
      </c>
      <c r="N1193" s="3">
        <v>0</v>
      </c>
      <c r="O1193" s="3">
        <v>0</v>
      </c>
      <c r="P1193" s="3">
        <f t="shared" si="0"/>
        <v>0</v>
      </c>
      <c r="Q1193" s="3">
        <f t="shared" si="1"/>
        <v>96</v>
      </c>
      <c r="R1193" s="3">
        <f t="shared" si="2"/>
        <v>0</v>
      </c>
      <c r="S1193" s="11"/>
    </row>
    <row r="1194" ht="13.5" customHeight="1" spans="1:21">
      <c r="A1194" s="4" t="s">
        <v>21</v>
      </c>
      <c r="B1194" s="3">
        <v>1236</v>
      </c>
      <c r="C1194" s="3">
        <v>8460</v>
      </c>
      <c r="D1194" s="3">
        <v>0.1</v>
      </c>
      <c r="E1194" s="4" t="s">
        <v>22</v>
      </c>
      <c r="F1194" s="4" t="s">
        <v>51</v>
      </c>
      <c r="G1194" s="4" t="s">
        <v>51</v>
      </c>
      <c r="H1194" s="4" t="s">
        <v>25</v>
      </c>
      <c r="I1194" s="4" t="s">
        <v>156</v>
      </c>
      <c r="J1194" s="3">
        <v>1</v>
      </c>
      <c r="K1194" s="3">
        <v>25</v>
      </c>
      <c r="L1194" s="3">
        <v>25</v>
      </c>
      <c r="M1194" s="3">
        <v>0</v>
      </c>
      <c r="N1194" s="3">
        <v>0</v>
      </c>
      <c r="O1194" s="3">
        <v>0</v>
      </c>
      <c r="P1194" s="3">
        <f t="shared" si="0"/>
        <v>0</v>
      </c>
      <c r="Q1194" s="3">
        <f t="shared" si="1"/>
        <v>100</v>
      </c>
      <c r="R1194" s="3">
        <f t="shared" si="2"/>
        <v>0</v>
      </c>
      <c r="S1194" s="11">
        <f>AVERAGE(Q1194:Q1197)</f>
        <v>100</v>
      </c>
      <c r="T1194" s="7">
        <f>AVERAGE(R1194:R1197)</f>
        <v>0</v>
      </c>
      <c r="U1194" s="8">
        <f>(L1194+L1195+L1196+L1197+O1194+O1195+O1196+O1197)/(K1194+K1195+K1196+K1197)*100</f>
        <v>98</v>
      </c>
    </row>
    <row r="1195" ht="13.5" customHeight="1" spans="1:19">
      <c r="A1195" s="4" t="s">
        <v>21</v>
      </c>
      <c r="B1195" s="3">
        <v>1236</v>
      </c>
      <c r="C1195" s="3">
        <v>8460</v>
      </c>
      <c r="D1195" s="3">
        <v>0.1</v>
      </c>
      <c r="E1195" s="4" t="s">
        <v>22</v>
      </c>
      <c r="F1195" s="4" t="s">
        <v>51</v>
      </c>
      <c r="G1195" s="4" t="s">
        <v>51</v>
      </c>
      <c r="H1195" s="4" t="s">
        <v>25</v>
      </c>
      <c r="I1195" s="4" t="s">
        <v>156</v>
      </c>
      <c r="J1195" s="3">
        <v>2</v>
      </c>
      <c r="K1195" s="3">
        <v>25</v>
      </c>
      <c r="L1195" s="3">
        <v>23</v>
      </c>
      <c r="M1195" s="3">
        <v>0</v>
      </c>
      <c r="N1195" s="3">
        <v>2</v>
      </c>
      <c r="O1195" s="3">
        <v>0</v>
      </c>
      <c r="P1195" s="3">
        <f t="shared" si="0"/>
        <v>0</v>
      </c>
      <c r="Q1195" s="3">
        <f t="shared" si="1"/>
        <v>100</v>
      </c>
      <c r="R1195" s="3">
        <f t="shared" si="2"/>
        <v>0</v>
      </c>
      <c r="S1195" s="11"/>
    </row>
    <row r="1196" ht="13.5" customHeight="1" spans="1:19">
      <c r="A1196" s="4" t="s">
        <v>21</v>
      </c>
      <c r="B1196" s="3">
        <v>1236</v>
      </c>
      <c r="C1196" s="3">
        <v>8460</v>
      </c>
      <c r="D1196" s="3">
        <v>0.1</v>
      </c>
      <c r="E1196" s="4" t="s">
        <v>22</v>
      </c>
      <c r="F1196" s="4" t="s">
        <v>51</v>
      </c>
      <c r="G1196" s="4" t="s">
        <v>51</v>
      </c>
      <c r="H1196" s="4" t="s">
        <v>25</v>
      </c>
      <c r="I1196" s="4" t="s">
        <v>156</v>
      </c>
      <c r="J1196" s="3">
        <v>3</v>
      </c>
      <c r="K1196" s="3">
        <v>25</v>
      </c>
      <c r="L1196" s="3">
        <v>25</v>
      </c>
      <c r="M1196" s="3">
        <v>0</v>
      </c>
      <c r="N1196" s="3">
        <v>0</v>
      </c>
      <c r="O1196" s="3">
        <v>0</v>
      </c>
      <c r="P1196" s="3">
        <f t="shared" si="0"/>
        <v>0</v>
      </c>
      <c r="Q1196" s="3">
        <f t="shared" si="1"/>
        <v>100</v>
      </c>
      <c r="R1196" s="3">
        <f t="shared" si="2"/>
        <v>0</v>
      </c>
      <c r="S1196" s="11"/>
    </row>
    <row r="1197" ht="13.5" customHeight="1" spans="1:19">
      <c r="A1197" s="4" t="s">
        <v>21</v>
      </c>
      <c r="B1197" s="3">
        <v>1236</v>
      </c>
      <c r="C1197" s="3">
        <v>8460</v>
      </c>
      <c r="D1197" s="3">
        <v>0.1</v>
      </c>
      <c r="E1197" s="4" t="s">
        <v>22</v>
      </c>
      <c r="F1197" s="4" t="s">
        <v>51</v>
      </c>
      <c r="G1197" s="4" t="s">
        <v>51</v>
      </c>
      <c r="H1197" s="4" t="s">
        <v>25</v>
      </c>
      <c r="I1197" s="4" t="s">
        <v>156</v>
      </c>
      <c r="J1197" s="3">
        <v>4</v>
      </c>
      <c r="K1197" s="3">
        <v>25</v>
      </c>
      <c r="L1197" s="3">
        <v>25</v>
      </c>
      <c r="M1197" s="3">
        <v>0</v>
      </c>
      <c r="N1197" s="3">
        <v>0</v>
      </c>
      <c r="O1197" s="3">
        <v>0</v>
      </c>
      <c r="P1197" s="3">
        <f t="shared" si="0"/>
        <v>0</v>
      </c>
      <c r="Q1197" s="3">
        <f t="shared" si="1"/>
        <v>100</v>
      </c>
      <c r="R1197" s="3">
        <f t="shared" si="2"/>
        <v>0</v>
      </c>
      <c r="S1197" s="11"/>
    </row>
    <row r="1198" ht="13.5" customHeight="1" spans="1:21">
      <c r="A1198" s="4" t="s">
        <v>46</v>
      </c>
      <c r="B1198" s="3">
        <v>1270</v>
      </c>
      <c r="C1198" s="3">
        <v>8757</v>
      </c>
      <c r="D1198" s="3">
        <v>0.1</v>
      </c>
      <c r="E1198" s="4" t="s">
        <v>22</v>
      </c>
      <c r="F1198" s="4" t="s">
        <v>51</v>
      </c>
      <c r="G1198" s="4" t="s">
        <v>51</v>
      </c>
      <c r="H1198" s="4" t="s">
        <v>25</v>
      </c>
      <c r="I1198" s="4" t="s">
        <v>156</v>
      </c>
      <c r="J1198" s="3">
        <v>1</v>
      </c>
      <c r="K1198" s="3">
        <v>25</v>
      </c>
      <c r="L1198" s="3">
        <v>24</v>
      </c>
      <c r="M1198" s="3">
        <v>1</v>
      </c>
      <c r="N1198" s="3">
        <v>0</v>
      </c>
      <c r="O1198" s="3">
        <v>0</v>
      </c>
      <c r="P1198" s="3">
        <f t="shared" si="0"/>
        <v>0</v>
      </c>
      <c r="Q1198" s="3">
        <f t="shared" si="1"/>
        <v>96</v>
      </c>
      <c r="R1198" s="3">
        <f t="shared" si="2"/>
        <v>0</v>
      </c>
      <c r="S1198" s="11">
        <f>AVERAGE(Q1198:Q1201)</f>
        <v>96</v>
      </c>
      <c r="T1198" s="7">
        <f>AVERAGE(R1198:R1201)</f>
        <v>2</v>
      </c>
      <c r="U1198" s="8">
        <f>(L1198+L1199+L1200+L1201+O1198+O1199+O1200+O1201)/(K1198+K1199+K1200+K1201)*100</f>
        <v>97</v>
      </c>
    </row>
    <row r="1199" ht="13.5" customHeight="1" spans="1:19">
      <c r="A1199" s="4" t="s">
        <v>46</v>
      </c>
      <c r="B1199" s="3">
        <v>1270</v>
      </c>
      <c r="C1199" s="3">
        <v>8757</v>
      </c>
      <c r="D1199" s="3">
        <v>0.1</v>
      </c>
      <c r="E1199" s="4" t="s">
        <v>22</v>
      </c>
      <c r="F1199" s="4" t="s">
        <v>51</v>
      </c>
      <c r="G1199" s="4" t="s">
        <v>51</v>
      </c>
      <c r="H1199" s="4" t="s">
        <v>25</v>
      </c>
      <c r="I1199" s="4" t="s">
        <v>156</v>
      </c>
      <c r="J1199" s="3">
        <v>2</v>
      </c>
      <c r="K1199" s="3">
        <v>25</v>
      </c>
      <c r="L1199" s="3">
        <v>22</v>
      </c>
      <c r="M1199" s="3">
        <v>1</v>
      </c>
      <c r="N1199" s="3">
        <v>0</v>
      </c>
      <c r="O1199" s="3">
        <v>2</v>
      </c>
      <c r="P1199" s="3">
        <f t="shared" si="0"/>
        <v>0</v>
      </c>
      <c r="Q1199" s="3">
        <f t="shared" si="1"/>
        <v>88</v>
      </c>
      <c r="R1199" s="3">
        <f t="shared" si="2"/>
        <v>8</v>
      </c>
      <c r="S1199" s="11"/>
    </row>
    <row r="1200" ht="13.5" customHeight="1" spans="1:19">
      <c r="A1200" s="4" t="s">
        <v>46</v>
      </c>
      <c r="B1200" s="3">
        <v>1270</v>
      </c>
      <c r="C1200" s="3">
        <v>8757</v>
      </c>
      <c r="D1200" s="3">
        <v>0.1</v>
      </c>
      <c r="E1200" s="4" t="s">
        <v>22</v>
      </c>
      <c r="F1200" s="4" t="s">
        <v>51</v>
      </c>
      <c r="G1200" s="4" t="s">
        <v>51</v>
      </c>
      <c r="H1200" s="4" t="s">
        <v>25</v>
      </c>
      <c r="I1200" s="4" t="s">
        <v>156</v>
      </c>
      <c r="J1200" s="3">
        <v>3</v>
      </c>
      <c r="K1200" s="3">
        <v>25</v>
      </c>
      <c r="L1200" s="3">
        <v>25</v>
      </c>
      <c r="M1200" s="3">
        <v>0</v>
      </c>
      <c r="N1200" s="3">
        <v>0</v>
      </c>
      <c r="O1200" s="3">
        <v>0</v>
      </c>
      <c r="P1200" s="3">
        <f t="shared" si="0"/>
        <v>0</v>
      </c>
      <c r="Q1200" s="3">
        <f t="shared" si="1"/>
        <v>100</v>
      </c>
      <c r="R1200" s="3">
        <f t="shared" si="2"/>
        <v>0</v>
      </c>
      <c r="S1200" s="11"/>
    </row>
    <row r="1201" ht="13.5" customHeight="1" spans="1:19">
      <c r="A1201" s="4" t="s">
        <v>46</v>
      </c>
      <c r="B1201" s="3">
        <v>1270</v>
      </c>
      <c r="C1201" s="3">
        <v>8757</v>
      </c>
      <c r="D1201" s="3">
        <v>0.1</v>
      </c>
      <c r="E1201" s="4" t="s">
        <v>22</v>
      </c>
      <c r="F1201" s="4" t="s">
        <v>51</v>
      </c>
      <c r="G1201" s="4" t="s">
        <v>51</v>
      </c>
      <c r="H1201" s="4" t="s">
        <v>25</v>
      </c>
      <c r="I1201" s="4" t="s">
        <v>156</v>
      </c>
      <c r="J1201" s="3">
        <v>4</v>
      </c>
      <c r="K1201" s="3">
        <v>25</v>
      </c>
      <c r="L1201" s="3">
        <v>24</v>
      </c>
      <c r="M1201" s="3">
        <v>0</v>
      </c>
      <c r="N1201" s="3">
        <v>1</v>
      </c>
      <c r="O1201" s="3">
        <v>0</v>
      </c>
      <c r="P1201" s="3">
        <f t="shared" si="0"/>
        <v>0</v>
      </c>
      <c r="Q1201" s="3">
        <f t="shared" si="1"/>
        <v>100</v>
      </c>
      <c r="R1201" s="3">
        <f t="shared" si="2"/>
        <v>0</v>
      </c>
      <c r="S1201" s="11"/>
    </row>
    <row r="1202" ht="13.5" customHeight="1" spans="1:21">
      <c r="A1202" s="4" t="s">
        <v>32</v>
      </c>
      <c r="B1202" s="3">
        <v>1342</v>
      </c>
      <c r="C1202" s="3">
        <v>9074</v>
      </c>
      <c r="D1202" s="3">
        <v>0.1</v>
      </c>
      <c r="E1202" s="4" t="s">
        <v>22</v>
      </c>
      <c r="F1202" s="4" t="s">
        <v>119</v>
      </c>
      <c r="G1202" s="4" t="s">
        <v>119</v>
      </c>
      <c r="H1202" s="4" t="s">
        <v>25</v>
      </c>
      <c r="I1202" s="4" t="s">
        <v>156</v>
      </c>
      <c r="J1202" s="3">
        <v>1</v>
      </c>
      <c r="K1202" s="3">
        <v>25</v>
      </c>
      <c r="L1202" s="3">
        <v>25</v>
      </c>
      <c r="M1202" s="3">
        <v>0</v>
      </c>
      <c r="N1202" s="3">
        <v>0</v>
      </c>
      <c r="O1202" s="3">
        <v>0</v>
      </c>
      <c r="P1202" s="3">
        <f t="shared" si="0"/>
        <v>0</v>
      </c>
      <c r="Q1202" s="3">
        <f t="shared" si="1"/>
        <v>100</v>
      </c>
      <c r="R1202" s="3">
        <f t="shared" si="2"/>
        <v>0</v>
      </c>
      <c r="S1202" s="11">
        <f>AVERAGE(Q1202:Q1205)</f>
        <v>100</v>
      </c>
      <c r="T1202" s="7">
        <f>AVERAGE(R1202:R1205)</f>
        <v>0</v>
      </c>
      <c r="U1202" s="8">
        <f>(L1202+L1203+L1204+L1205+O1202+O1203+O1204+O1205)/(K1202+K1203+K1204+K1205)*100</f>
        <v>100</v>
      </c>
    </row>
    <row r="1203" ht="13.5" customHeight="1" spans="1:19">
      <c r="A1203" s="4" t="s">
        <v>32</v>
      </c>
      <c r="B1203" s="3">
        <v>1342</v>
      </c>
      <c r="C1203" s="3">
        <v>9074</v>
      </c>
      <c r="D1203" s="3">
        <v>0.1</v>
      </c>
      <c r="E1203" s="4" t="s">
        <v>22</v>
      </c>
      <c r="F1203" s="4" t="s">
        <v>119</v>
      </c>
      <c r="G1203" s="4" t="s">
        <v>119</v>
      </c>
      <c r="H1203" s="4" t="s">
        <v>25</v>
      </c>
      <c r="I1203" s="4" t="s">
        <v>156</v>
      </c>
      <c r="J1203" s="3">
        <v>2</v>
      </c>
      <c r="K1203" s="3">
        <v>25</v>
      </c>
      <c r="L1203" s="3">
        <v>25</v>
      </c>
      <c r="M1203" s="3">
        <v>0</v>
      </c>
      <c r="N1203" s="3">
        <v>0</v>
      </c>
      <c r="O1203" s="3">
        <v>0</v>
      </c>
      <c r="P1203" s="3">
        <f t="shared" si="0"/>
        <v>0</v>
      </c>
      <c r="Q1203" s="3">
        <f t="shared" si="1"/>
        <v>100</v>
      </c>
      <c r="R1203" s="3">
        <f t="shared" si="2"/>
        <v>0</v>
      </c>
      <c r="S1203" s="11"/>
    </row>
    <row r="1204" ht="13.5" customHeight="1" spans="1:19">
      <c r="A1204" s="4" t="s">
        <v>32</v>
      </c>
      <c r="B1204" s="3">
        <v>1342</v>
      </c>
      <c r="C1204" s="3">
        <v>9074</v>
      </c>
      <c r="D1204" s="3">
        <v>0.1</v>
      </c>
      <c r="E1204" s="4" t="s">
        <v>22</v>
      </c>
      <c r="F1204" s="4" t="s">
        <v>119</v>
      </c>
      <c r="G1204" s="4" t="s">
        <v>119</v>
      </c>
      <c r="H1204" s="4" t="s">
        <v>25</v>
      </c>
      <c r="I1204" s="4" t="s">
        <v>156</v>
      </c>
      <c r="J1204" s="3">
        <v>3</v>
      </c>
      <c r="K1204" s="3">
        <v>25</v>
      </c>
      <c r="L1204" s="3">
        <v>25</v>
      </c>
      <c r="M1204" s="3">
        <v>0</v>
      </c>
      <c r="N1204" s="3">
        <v>0</v>
      </c>
      <c r="O1204" s="3">
        <v>0</v>
      </c>
      <c r="P1204" s="3">
        <f t="shared" si="0"/>
        <v>0</v>
      </c>
      <c r="Q1204" s="3">
        <f t="shared" si="1"/>
        <v>100</v>
      </c>
      <c r="R1204" s="3">
        <f t="shared" si="2"/>
        <v>0</v>
      </c>
      <c r="S1204" s="11"/>
    </row>
    <row r="1205" ht="13.5" customHeight="1" spans="1:19">
      <c r="A1205" s="4" t="s">
        <v>32</v>
      </c>
      <c r="B1205" s="3">
        <v>1342</v>
      </c>
      <c r="C1205" s="3">
        <v>9074</v>
      </c>
      <c r="D1205" s="3">
        <v>0.1</v>
      </c>
      <c r="E1205" s="4" t="s">
        <v>22</v>
      </c>
      <c r="F1205" s="4" t="s">
        <v>119</v>
      </c>
      <c r="G1205" s="4" t="s">
        <v>119</v>
      </c>
      <c r="H1205" s="4" t="s">
        <v>25</v>
      </c>
      <c r="I1205" s="4" t="s">
        <v>156</v>
      </c>
      <c r="J1205" s="3">
        <v>4</v>
      </c>
      <c r="K1205" s="3">
        <v>25</v>
      </c>
      <c r="L1205" s="3">
        <v>25</v>
      </c>
      <c r="M1205" s="3">
        <v>0</v>
      </c>
      <c r="N1205" s="3">
        <v>0</v>
      </c>
      <c r="O1205" s="3">
        <v>0</v>
      </c>
      <c r="P1205" s="3">
        <f t="shared" si="0"/>
        <v>0</v>
      </c>
      <c r="Q1205" s="3">
        <f t="shared" si="1"/>
        <v>100</v>
      </c>
      <c r="R1205" s="3">
        <f t="shared" si="2"/>
        <v>0</v>
      </c>
      <c r="S1205" s="11"/>
    </row>
    <row r="1206" ht="13.5" customHeight="1" spans="1:21">
      <c r="A1206" s="4" t="s">
        <v>41</v>
      </c>
      <c r="B1206" s="3">
        <v>1073</v>
      </c>
      <c r="C1206" s="3">
        <v>6256</v>
      </c>
      <c r="D1206" s="3">
        <v>0.1</v>
      </c>
      <c r="E1206" s="4" t="s">
        <v>22</v>
      </c>
      <c r="F1206" s="4" t="s">
        <v>119</v>
      </c>
      <c r="G1206" s="4" t="s">
        <v>119</v>
      </c>
      <c r="H1206" s="4" t="s">
        <v>25</v>
      </c>
      <c r="I1206" s="4" t="s">
        <v>156</v>
      </c>
      <c r="J1206" s="3">
        <v>1</v>
      </c>
      <c r="K1206" s="3">
        <v>25</v>
      </c>
      <c r="L1206" s="3">
        <v>24</v>
      </c>
      <c r="M1206" s="3">
        <v>0</v>
      </c>
      <c r="N1206" s="3">
        <v>1</v>
      </c>
      <c r="O1206" s="3">
        <v>0</v>
      </c>
      <c r="P1206" s="3">
        <f t="shared" si="0"/>
        <v>0</v>
      </c>
      <c r="Q1206" s="3">
        <f t="shared" si="1"/>
        <v>100</v>
      </c>
      <c r="R1206" s="3">
        <f t="shared" si="2"/>
        <v>0</v>
      </c>
      <c r="S1206" s="11">
        <f>AVERAGE(Q1206:Q1209)</f>
        <v>100</v>
      </c>
      <c r="T1206" s="7">
        <f>AVERAGE(R1206:R1209)</f>
        <v>0</v>
      </c>
      <c r="U1206" s="8">
        <f>(L1206+L1207+L1208+L1209+O1206+O1207+O1208+O1209)/(K1206+K1207+K1208+K1209)*100</f>
        <v>99</v>
      </c>
    </row>
    <row r="1207" ht="13.5" customHeight="1" spans="1:19">
      <c r="A1207" s="4" t="s">
        <v>41</v>
      </c>
      <c r="B1207" s="3">
        <v>1073</v>
      </c>
      <c r="C1207" s="3">
        <v>6256</v>
      </c>
      <c r="D1207" s="3">
        <v>0.1</v>
      </c>
      <c r="E1207" s="4" t="s">
        <v>22</v>
      </c>
      <c r="F1207" s="4" t="s">
        <v>119</v>
      </c>
      <c r="G1207" s="4" t="s">
        <v>119</v>
      </c>
      <c r="H1207" s="4" t="s">
        <v>25</v>
      </c>
      <c r="I1207" s="4" t="s">
        <v>156</v>
      </c>
      <c r="J1207" s="3">
        <v>2</v>
      </c>
      <c r="K1207" s="3">
        <v>25</v>
      </c>
      <c r="L1207" s="3">
        <v>25</v>
      </c>
      <c r="M1207" s="3">
        <v>0</v>
      </c>
      <c r="N1207" s="3">
        <v>0</v>
      </c>
      <c r="O1207" s="3">
        <v>0</v>
      </c>
      <c r="P1207" s="3">
        <f t="shared" si="0"/>
        <v>0</v>
      </c>
      <c r="Q1207" s="3">
        <f t="shared" si="1"/>
        <v>100</v>
      </c>
      <c r="R1207" s="3">
        <f t="shared" si="2"/>
        <v>0</v>
      </c>
      <c r="S1207" s="11"/>
    </row>
    <row r="1208" ht="13.5" customHeight="1" spans="1:19">
      <c r="A1208" s="4" t="s">
        <v>41</v>
      </c>
      <c r="B1208" s="3">
        <v>1073</v>
      </c>
      <c r="C1208" s="3">
        <v>6256</v>
      </c>
      <c r="D1208" s="3">
        <v>0.1</v>
      </c>
      <c r="E1208" s="4" t="s">
        <v>22</v>
      </c>
      <c r="F1208" s="4" t="s">
        <v>119</v>
      </c>
      <c r="G1208" s="4" t="s">
        <v>119</v>
      </c>
      <c r="H1208" s="4" t="s">
        <v>25</v>
      </c>
      <c r="I1208" s="4" t="s">
        <v>156</v>
      </c>
      <c r="J1208" s="3">
        <v>3</v>
      </c>
      <c r="K1208" s="3">
        <v>25</v>
      </c>
      <c r="L1208" s="3">
        <v>25</v>
      </c>
      <c r="M1208" s="3">
        <v>0</v>
      </c>
      <c r="N1208" s="3">
        <v>0</v>
      </c>
      <c r="O1208" s="3">
        <v>0</v>
      </c>
      <c r="P1208" s="3">
        <f t="shared" si="0"/>
        <v>0</v>
      </c>
      <c r="Q1208" s="3">
        <f t="shared" si="1"/>
        <v>100</v>
      </c>
      <c r="R1208" s="3">
        <f t="shared" si="2"/>
        <v>0</v>
      </c>
      <c r="S1208" s="11"/>
    </row>
    <row r="1209" ht="13.5" customHeight="1" spans="1:19">
      <c r="A1209" s="4" t="s">
        <v>41</v>
      </c>
      <c r="B1209" s="3">
        <v>1073</v>
      </c>
      <c r="C1209" s="3">
        <v>6256</v>
      </c>
      <c r="D1209" s="3">
        <v>0.1</v>
      </c>
      <c r="E1209" s="4" t="s">
        <v>22</v>
      </c>
      <c r="F1209" s="4" t="s">
        <v>119</v>
      </c>
      <c r="G1209" s="4" t="s">
        <v>119</v>
      </c>
      <c r="H1209" s="4" t="s">
        <v>25</v>
      </c>
      <c r="I1209" s="4" t="s">
        <v>156</v>
      </c>
      <c r="J1209" s="3">
        <v>4</v>
      </c>
      <c r="K1209" s="3">
        <v>25</v>
      </c>
      <c r="L1209" s="3">
        <v>25</v>
      </c>
      <c r="M1209" s="3">
        <v>0</v>
      </c>
      <c r="N1209" s="3">
        <v>0</v>
      </c>
      <c r="O1209" s="3">
        <v>0</v>
      </c>
      <c r="P1209" s="3">
        <f t="shared" si="0"/>
        <v>0</v>
      </c>
      <c r="Q1209" s="3">
        <f t="shared" si="1"/>
        <v>100</v>
      </c>
      <c r="R1209" s="3">
        <f t="shared" si="2"/>
        <v>0</v>
      </c>
      <c r="S1209" s="11"/>
    </row>
    <row r="1210" ht="13.5" customHeight="1" spans="1:21">
      <c r="A1210" s="4" t="s">
        <v>60</v>
      </c>
      <c r="B1210" s="3">
        <v>1330</v>
      </c>
      <c r="C1210" s="3">
        <v>9133</v>
      </c>
      <c r="D1210" s="3">
        <v>0.1</v>
      </c>
      <c r="E1210" s="4" t="s">
        <v>22</v>
      </c>
      <c r="F1210" s="4" t="s">
        <v>119</v>
      </c>
      <c r="G1210" s="4" t="s">
        <v>119</v>
      </c>
      <c r="H1210" s="4" t="s">
        <v>25</v>
      </c>
      <c r="I1210" s="4" t="s">
        <v>156</v>
      </c>
      <c r="J1210" s="3">
        <v>1</v>
      </c>
      <c r="K1210" s="3">
        <v>20</v>
      </c>
      <c r="L1210" s="3">
        <v>20</v>
      </c>
      <c r="M1210" s="3">
        <v>0</v>
      </c>
      <c r="N1210" s="3">
        <v>0</v>
      </c>
      <c r="O1210" s="3">
        <v>0</v>
      </c>
      <c r="P1210" s="3">
        <f t="shared" si="0"/>
        <v>0</v>
      </c>
      <c r="Q1210" s="3">
        <f t="shared" si="1"/>
        <v>100</v>
      </c>
      <c r="R1210" s="3">
        <f t="shared" si="2"/>
        <v>0</v>
      </c>
      <c r="S1210" s="11">
        <f>AVERAGE(Q1210:Q1213)</f>
        <v>100</v>
      </c>
      <c r="T1210" s="7">
        <f>AVERAGE(R1210:R1213)</f>
        <v>0</v>
      </c>
      <c r="U1210" s="8">
        <f>(L1210+L1211+L1212+L1213+O1210+O1211+O1212+O1213)/(K1210+K1211+K1212+K1213)*100</f>
        <v>100</v>
      </c>
    </row>
    <row r="1211" ht="13.5" customHeight="1" spans="1:19">
      <c r="A1211" s="4" t="s">
        <v>60</v>
      </c>
      <c r="B1211" s="3">
        <v>1330</v>
      </c>
      <c r="C1211" s="3">
        <v>9133</v>
      </c>
      <c r="D1211" s="3">
        <v>0.1</v>
      </c>
      <c r="E1211" s="4" t="s">
        <v>22</v>
      </c>
      <c r="F1211" s="4" t="s">
        <v>119</v>
      </c>
      <c r="G1211" s="4" t="s">
        <v>119</v>
      </c>
      <c r="H1211" s="4" t="s">
        <v>25</v>
      </c>
      <c r="I1211" s="4" t="s">
        <v>156</v>
      </c>
      <c r="J1211" s="3">
        <v>2</v>
      </c>
      <c r="K1211" s="3">
        <v>20</v>
      </c>
      <c r="L1211" s="3">
        <v>20</v>
      </c>
      <c r="M1211" s="3">
        <v>0</v>
      </c>
      <c r="N1211" s="3">
        <v>0</v>
      </c>
      <c r="O1211" s="3">
        <v>0</v>
      </c>
      <c r="P1211" s="3">
        <f t="shared" si="0"/>
        <v>0</v>
      </c>
      <c r="Q1211" s="3">
        <f t="shared" si="1"/>
        <v>100</v>
      </c>
      <c r="R1211" s="3">
        <f t="shared" si="2"/>
        <v>0</v>
      </c>
      <c r="S1211" s="11"/>
    </row>
    <row r="1212" ht="13.5" customHeight="1" spans="1:19">
      <c r="A1212" s="4" t="s">
        <v>60</v>
      </c>
      <c r="B1212" s="3">
        <v>1330</v>
      </c>
      <c r="C1212" s="3">
        <v>9133</v>
      </c>
      <c r="D1212" s="3">
        <v>0.1</v>
      </c>
      <c r="E1212" s="4" t="s">
        <v>22</v>
      </c>
      <c r="F1212" s="4" t="s">
        <v>119</v>
      </c>
      <c r="G1212" s="4" t="s">
        <v>119</v>
      </c>
      <c r="H1212" s="4" t="s">
        <v>25</v>
      </c>
      <c r="I1212" s="4" t="s">
        <v>156</v>
      </c>
      <c r="J1212" s="3">
        <v>3</v>
      </c>
      <c r="K1212" s="3">
        <v>20</v>
      </c>
      <c r="L1212" s="3">
        <v>20</v>
      </c>
      <c r="M1212" s="3">
        <v>0</v>
      </c>
      <c r="N1212" s="3">
        <v>0</v>
      </c>
      <c r="O1212" s="3">
        <v>0</v>
      </c>
      <c r="P1212" s="3">
        <f t="shared" si="0"/>
        <v>0</v>
      </c>
      <c r="Q1212" s="3">
        <f t="shared" si="1"/>
        <v>100</v>
      </c>
      <c r="R1212" s="3">
        <f t="shared" si="2"/>
        <v>0</v>
      </c>
      <c r="S1212" s="11"/>
    </row>
    <row r="1213" ht="13.5" customHeight="1" spans="1:19">
      <c r="A1213" s="4" t="s">
        <v>60</v>
      </c>
      <c r="B1213" s="3">
        <v>1330</v>
      </c>
      <c r="C1213" s="3">
        <v>9133</v>
      </c>
      <c r="D1213" s="3">
        <v>0.1</v>
      </c>
      <c r="E1213" s="4" t="s">
        <v>22</v>
      </c>
      <c r="F1213" s="4" t="s">
        <v>119</v>
      </c>
      <c r="G1213" s="4" t="s">
        <v>119</v>
      </c>
      <c r="H1213" s="4" t="s">
        <v>25</v>
      </c>
      <c r="I1213" s="4" t="s">
        <v>156</v>
      </c>
      <c r="J1213" s="3">
        <v>4</v>
      </c>
      <c r="K1213" s="3">
        <v>20</v>
      </c>
      <c r="L1213" s="3">
        <v>20</v>
      </c>
      <c r="M1213" s="3">
        <v>0</v>
      </c>
      <c r="N1213" s="3">
        <v>0</v>
      </c>
      <c r="O1213" s="3">
        <v>0</v>
      </c>
      <c r="P1213" s="3">
        <f t="shared" si="0"/>
        <v>0</v>
      </c>
      <c r="Q1213" s="3">
        <f t="shared" si="1"/>
        <v>100</v>
      </c>
      <c r="R1213" s="3">
        <f t="shared" si="2"/>
        <v>0</v>
      </c>
      <c r="S1213" s="11"/>
    </row>
    <row r="1214" ht="13.5" customHeight="1" spans="1:21">
      <c r="A1214" s="4" t="s">
        <v>84</v>
      </c>
      <c r="B1214" s="3">
        <v>1177</v>
      </c>
      <c r="C1214" s="3">
        <v>8175</v>
      </c>
      <c r="D1214" s="3">
        <v>0.1</v>
      </c>
      <c r="E1214" s="4" t="s">
        <v>22</v>
      </c>
      <c r="F1214" s="4" t="s">
        <v>119</v>
      </c>
      <c r="G1214" s="4" t="s">
        <v>119</v>
      </c>
      <c r="H1214" s="4" t="s">
        <v>25</v>
      </c>
      <c r="I1214" s="4" t="s">
        <v>156</v>
      </c>
      <c r="J1214" s="3">
        <v>1</v>
      </c>
      <c r="K1214" s="3">
        <v>25</v>
      </c>
      <c r="L1214" s="3">
        <v>25</v>
      </c>
      <c r="M1214" s="3">
        <v>0</v>
      </c>
      <c r="N1214" s="3">
        <v>0</v>
      </c>
      <c r="O1214" s="3">
        <v>0</v>
      </c>
      <c r="P1214" s="3">
        <f t="shared" si="0"/>
        <v>0</v>
      </c>
      <c r="Q1214" s="3">
        <f t="shared" si="1"/>
        <v>100</v>
      </c>
      <c r="R1214" s="3">
        <f t="shared" si="2"/>
        <v>0</v>
      </c>
      <c r="S1214" s="11">
        <f>AVERAGE(Q1214:Q1217)</f>
        <v>100</v>
      </c>
      <c r="T1214" s="7">
        <f>AVERAGE(R1214:R1217)</f>
        <v>0</v>
      </c>
      <c r="U1214" s="8">
        <f>(L1214+L1215+L1216+L1217+O1214+O1215+O1216+O1217)/(K1214+K1215+K1216+K1217)*100</f>
        <v>100</v>
      </c>
    </row>
    <row r="1215" ht="13.5" customHeight="1" spans="1:19">
      <c r="A1215" s="4" t="s">
        <v>84</v>
      </c>
      <c r="B1215" s="3">
        <v>1177</v>
      </c>
      <c r="C1215" s="3">
        <v>8175</v>
      </c>
      <c r="D1215" s="3">
        <v>0.1</v>
      </c>
      <c r="E1215" s="4" t="s">
        <v>22</v>
      </c>
      <c r="F1215" s="4" t="s">
        <v>119</v>
      </c>
      <c r="G1215" s="4" t="s">
        <v>119</v>
      </c>
      <c r="H1215" s="4" t="s">
        <v>25</v>
      </c>
      <c r="I1215" s="4" t="s">
        <v>156</v>
      </c>
      <c r="J1215" s="3">
        <v>2</v>
      </c>
      <c r="K1215" s="3">
        <v>25</v>
      </c>
      <c r="L1215" s="3">
        <v>25</v>
      </c>
      <c r="M1215" s="3">
        <v>0</v>
      </c>
      <c r="N1215" s="3">
        <v>0</v>
      </c>
      <c r="O1215" s="3">
        <v>0</v>
      </c>
      <c r="P1215" s="3">
        <f t="shared" si="0"/>
        <v>0</v>
      </c>
      <c r="Q1215" s="3">
        <f t="shared" si="1"/>
        <v>100</v>
      </c>
      <c r="R1215" s="3">
        <f t="shared" si="2"/>
        <v>0</v>
      </c>
      <c r="S1215" s="11"/>
    </row>
    <row r="1216" ht="13.5" customHeight="1" spans="1:19">
      <c r="A1216" s="4" t="s">
        <v>84</v>
      </c>
      <c r="B1216" s="3">
        <v>1177</v>
      </c>
      <c r="C1216" s="3">
        <v>8175</v>
      </c>
      <c r="D1216" s="3">
        <v>0.1</v>
      </c>
      <c r="E1216" s="4" t="s">
        <v>22</v>
      </c>
      <c r="F1216" s="4" t="s">
        <v>119</v>
      </c>
      <c r="G1216" s="4" t="s">
        <v>119</v>
      </c>
      <c r="H1216" s="4" t="s">
        <v>25</v>
      </c>
      <c r="I1216" s="4" t="s">
        <v>156</v>
      </c>
      <c r="J1216" s="3">
        <v>3</v>
      </c>
      <c r="K1216" s="3">
        <v>23</v>
      </c>
      <c r="L1216" s="3">
        <v>23</v>
      </c>
      <c r="M1216" s="3">
        <v>0</v>
      </c>
      <c r="N1216" s="3">
        <v>0</v>
      </c>
      <c r="O1216" s="3">
        <v>0</v>
      </c>
      <c r="P1216" s="3">
        <f t="shared" si="0"/>
        <v>0</v>
      </c>
      <c r="Q1216" s="3">
        <f t="shared" si="1"/>
        <v>100</v>
      </c>
      <c r="R1216" s="3">
        <f t="shared" si="2"/>
        <v>0</v>
      </c>
      <c r="S1216" s="11"/>
    </row>
    <row r="1217" ht="13.5" customHeight="1" spans="1:19">
      <c r="A1217" s="4" t="s">
        <v>84</v>
      </c>
      <c r="B1217" s="3">
        <v>1177</v>
      </c>
      <c r="C1217" s="3">
        <v>8175</v>
      </c>
      <c r="D1217" s="3">
        <v>0.1</v>
      </c>
      <c r="E1217" s="4" t="s">
        <v>22</v>
      </c>
      <c r="F1217" s="4" t="s">
        <v>119</v>
      </c>
      <c r="G1217" s="4" t="s">
        <v>119</v>
      </c>
      <c r="H1217" s="4" t="s">
        <v>25</v>
      </c>
      <c r="I1217" s="4" t="s">
        <v>156</v>
      </c>
      <c r="J1217" s="3">
        <v>4</v>
      </c>
      <c r="K1217" s="3">
        <v>24</v>
      </c>
      <c r="L1217" s="3">
        <v>24</v>
      </c>
      <c r="M1217" s="3">
        <v>0</v>
      </c>
      <c r="N1217" s="3">
        <v>0</v>
      </c>
      <c r="O1217" s="3">
        <v>0</v>
      </c>
      <c r="P1217" s="3">
        <f t="shared" si="0"/>
        <v>0</v>
      </c>
      <c r="Q1217" s="3">
        <f t="shared" si="1"/>
        <v>100</v>
      </c>
      <c r="R1217" s="3">
        <f t="shared" si="2"/>
        <v>0</v>
      </c>
      <c r="S1217" s="11"/>
    </row>
    <row r="1218" ht="13.5" customHeight="1" spans="1:21">
      <c r="A1218" s="4" t="s">
        <v>42</v>
      </c>
      <c r="B1218" s="3">
        <v>1441</v>
      </c>
      <c r="C1218" s="3">
        <v>9420</v>
      </c>
      <c r="D1218" s="3">
        <v>0.1</v>
      </c>
      <c r="E1218" s="4" t="s">
        <v>98</v>
      </c>
      <c r="F1218" s="4" t="s">
        <v>173</v>
      </c>
      <c r="G1218" s="4" t="s">
        <v>174</v>
      </c>
      <c r="H1218" s="4" t="s">
        <v>25</v>
      </c>
      <c r="I1218" s="4" t="s">
        <v>156</v>
      </c>
      <c r="J1218" s="3">
        <v>1</v>
      </c>
      <c r="K1218" s="3">
        <v>25</v>
      </c>
      <c r="L1218" s="3">
        <v>15</v>
      </c>
      <c r="M1218" s="3">
        <v>10</v>
      </c>
      <c r="N1218" s="3">
        <v>0</v>
      </c>
      <c r="O1218" s="3">
        <v>0</v>
      </c>
      <c r="P1218" s="3">
        <f t="shared" si="0"/>
        <v>0</v>
      </c>
      <c r="Q1218" s="3">
        <f t="shared" si="1"/>
        <v>60</v>
      </c>
      <c r="R1218" s="3">
        <f t="shared" si="2"/>
        <v>0</v>
      </c>
      <c r="S1218" s="11">
        <f>AVERAGE(Q1218:Q1221)</f>
        <v>50.3860294117647</v>
      </c>
      <c r="T1218" s="7">
        <f>AVERAGE(R1218:R1221)</f>
        <v>10.4779411764706</v>
      </c>
      <c r="U1218" s="8">
        <f>(L1218+L1219+L1220+L1221+O1218+O1219+O1220+O1221)/(K1218+K1219+K1220+K1221)*100</f>
        <v>47</v>
      </c>
    </row>
    <row r="1219" ht="13.5" customHeight="1" spans="1:19">
      <c r="A1219" s="4" t="s">
        <v>42</v>
      </c>
      <c r="B1219" s="3">
        <v>1441</v>
      </c>
      <c r="C1219" s="3">
        <v>9420</v>
      </c>
      <c r="D1219" s="3">
        <v>0.1</v>
      </c>
      <c r="E1219" s="4" t="s">
        <v>98</v>
      </c>
      <c r="F1219" s="4" t="s">
        <v>173</v>
      </c>
      <c r="G1219" s="4" t="s">
        <v>174</v>
      </c>
      <c r="H1219" s="4" t="s">
        <v>25</v>
      </c>
      <c r="I1219" s="4" t="s">
        <v>156</v>
      </c>
      <c r="J1219" s="3">
        <v>2</v>
      </c>
      <c r="K1219" s="3">
        <v>25</v>
      </c>
      <c r="L1219" s="3">
        <v>10</v>
      </c>
      <c r="M1219" s="3">
        <v>10</v>
      </c>
      <c r="N1219" s="3">
        <v>5</v>
      </c>
      <c r="O1219" s="3">
        <v>0</v>
      </c>
      <c r="P1219" s="3">
        <f t="shared" si="0"/>
        <v>0</v>
      </c>
      <c r="Q1219" s="3">
        <f t="shared" si="1"/>
        <v>50</v>
      </c>
      <c r="R1219" s="3">
        <f t="shared" si="2"/>
        <v>0</v>
      </c>
      <c r="S1219" s="11"/>
    </row>
    <row r="1220" ht="13.5" customHeight="1" spans="1:19">
      <c r="A1220" s="4" t="s">
        <v>42</v>
      </c>
      <c r="B1220" s="3">
        <v>1441</v>
      </c>
      <c r="C1220" s="3">
        <v>9420</v>
      </c>
      <c r="D1220" s="3">
        <v>0.1</v>
      </c>
      <c r="E1220" s="4" t="s">
        <v>98</v>
      </c>
      <c r="F1220" s="4" t="s">
        <v>173</v>
      </c>
      <c r="G1220" s="4" t="s">
        <v>174</v>
      </c>
      <c r="H1220" s="4" t="s">
        <v>25</v>
      </c>
      <c r="I1220" s="4" t="s">
        <v>156</v>
      </c>
      <c r="J1220" s="3">
        <v>3</v>
      </c>
      <c r="K1220" s="3">
        <v>25</v>
      </c>
      <c r="L1220" s="3">
        <v>9</v>
      </c>
      <c r="M1220" s="3">
        <v>5</v>
      </c>
      <c r="N1220" s="3">
        <v>9</v>
      </c>
      <c r="O1220" s="3">
        <v>2</v>
      </c>
      <c r="P1220" s="3">
        <f t="shared" si="0"/>
        <v>0</v>
      </c>
      <c r="Q1220" s="3">
        <f t="shared" si="1"/>
        <v>56.25</v>
      </c>
      <c r="R1220" s="3">
        <f t="shared" si="2"/>
        <v>12.5</v>
      </c>
      <c r="S1220" s="11"/>
    </row>
    <row r="1221" ht="13.5" customHeight="1" spans="1:19">
      <c r="A1221" s="4" t="s">
        <v>42</v>
      </c>
      <c r="B1221" s="3">
        <v>1441</v>
      </c>
      <c r="C1221" s="3">
        <v>9420</v>
      </c>
      <c r="D1221" s="3">
        <v>0.1</v>
      </c>
      <c r="E1221" s="4" t="s">
        <v>98</v>
      </c>
      <c r="F1221" s="4" t="s">
        <v>173</v>
      </c>
      <c r="G1221" s="4" t="s">
        <v>174</v>
      </c>
      <c r="H1221" s="4" t="s">
        <v>25</v>
      </c>
      <c r="I1221" s="4" t="s">
        <v>156</v>
      </c>
      <c r="J1221" s="3">
        <v>4</v>
      </c>
      <c r="K1221" s="3">
        <v>25</v>
      </c>
      <c r="L1221" s="3">
        <v>6</v>
      </c>
      <c r="M1221" s="3">
        <v>6</v>
      </c>
      <c r="N1221" s="3">
        <v>8</v>
      </c>
      <c r="O1221" s="3">
        <v>5</v>
      </c>
      <c r="P1221" s="3">
        <f t="shared" si="0"/>
        <v>0</v>
      </c>
      <c r="Q1221" s="3">
        <f t="shared" si="1"/>
        <v>35.2941176470588</v>
      </c>
      <c r="R1221" s="3">
        <f t="shared" si="2"/>
        <v>29.4117647058824</v>
      </c>
      <c r="S1221" s="11"/>
    </row>
    <row r="1222" ht="13.5" customHeight="1" spans="1:21">
      <c r="A1222" s="4" t="s">
        <v>57</v>
      </c>
      <c r="B1222" s="3">
        <v>1847</v>
      </c>
      <c r="C1222" s="3">
        <v>10763</v>
      </c>
      <c r="D1222" s="3">
        <v>0.1</v>
      </c>
      <c r="E1222" s="4" t="s">
        <v>52</v>
      </c>
      <c r="F1222" s="4" t="s">
        <v>175</v>
      </c>
      <c r="G1222" s="4" t="s">
        <v>83</v>
      </c>
      <c r="H1222" s="4" t="s">
        <v>25</v>
      </c>
      <c r="I1222" s="4" t="s">
        <v>156</v>
      </c>
      <c r="J1222" s="3">
        <v>1</v>
      </c>
      <c r="K1222" s="3">
        <v>25</v>
      </c>
      <c r="L1222" s="3">
        <v>23</v>
      </c>
      <c r="M1222" s="3">
        <v>2</v>
      </c>
      <c r="N1222" s="3">
        <v>0</v>
      </c>
      <c r="O1222" s="3">
        <v>0</v>
      </c>
      <c r="P1222" s="3">
        <f t="shared" si="0"/>
        <v>0</v>
      </c>
      <c r="Q1222" s="3">
        <f t="shared" si="1"/>
        <v>92</v>
      </c>
      <c r="R1222" s="3">
        <f t="shared" si="2"/>
        <v>0</v>
      </c>
      <c r="S1222" s="11">
        <f>AVERAGE(Q1222:Q1225)</f>
        <v>92.6856060606061</v>
      </c>
      <c r="T1222" s="7">
        <f>AVERAGE(R1222:R1225)</f>
        <v>3.04166666666667</v>
      </c>
      <c r="U1222" s="8">
        <f>(L1222+L1223+L1224+L1225+O1222+O1223+O1224+O1225)/(K1222+K1223+K1224+K1225)*100</f>
        <v>92</v>
      </c>
    </row>
    <row r="1223" ht="13.5" customHeight="1" spans="1:19">
      <c r="A1223" s="4" t="s">
        <v>57</v>
      </c>
      <c r="B1223" s="3">
        <v>1847</v>
      </c>
      <c r="C1223" s="3">
        <v>10763</v>
      </c>
      <c r="D1223" s="3">
        <v>0.1</v>
      </c>
      <c r="E1223" s="4" t="s">
        <v>52</v>
      </c>
      <c r="F1223" s="4" t="s">
        <v>175</v>
      </c>
      <c r="G1223" s="4" t="s">
        <v>83</v>
      </c>
      <c r="H1223" s="4" t="s">
        <v>25</v>
      </c>
      <c r="I1223" s="4" t="s">
        <v>156</v>
      </c>
      <c r="J1223" s="3">
        <v>2</v>
      </c>
      <c r="K1223" s="3">
        <v>25</v>
      </c>
      <c r="L1223" s="3">
        <v>23</v>
      </c>
      <c r="M1223" s="3">
        <v>0</v>
      </c>
      <c r="N1223" s="3">
        <v>0</v>
      </c>
      <c r="O1223" s="3">
        <v>2</v>
      </c>
      <c r="P1223" s="3">
        <f t="shared" si="0"/>
        <v>0</v>
      </c>
      <c r="Q1223" s="3">
        <f t="shared" si="1"/>
        <v>92</v>
      </c>
      <c r="R1223" s="3">
        <f t="shared" si="2"/>
        <v>8</v>
      </c>
      <c r="S1223" s="11"/>
    </row>
    <row r="1224" ht="13.5" customHeight="1" spans="1:19">
      <c r="A1224" s="4" t="s">
        <v>57</v>
      </c>
      <c r="B1224" s="3">
        <v>1847</v>
      </c>
      <c r="C1224" s="3">
        <v>10763</v>
      </c>
      <c r="D1224" s="3">
        <v>0.1</v>
      </c>
      <c r="E1224" s="4" t="s">
        <v>52</v>
      </c>
      <c r="F1224" s="4" t="s">
        <v>175</v>
      </c>
      <c r="G1224" s="4" t="s">
        <v>83</v>
      </c>
      <c r="H1224" s="4" t="s">
        <v>25</v>
      </c>
      <c r="I1224" s="4" t="s">
        <v>156</v>
      </c>
      <c r="J1224" s="3">
        <v>3</v>
      </c>
      <c r="K1224" s="3">
        <v>25</v>
      </c>
      <c r="L1224" s="3">
        <v>20</v>
      </c>
      <c r="M1224" s="3">
        <v>2</v>
      </c>
      <c r="N1224" s="3">
        <v>3</v>
      </c>
      <c r="O1224" s="3">
        <v>0</v>
      </c>
      <c r="P1224" s="3">
        <f t="shared" si="0"/>
        <v>0</v>
      </c>
      <c r="Q1224" s="3">
        <f t="shared" si="1"/>
        <v>90.9090909090909</v>
      </c>
      <c r="R1224" s="3">
        <f t="shared" si="2"/>
        <v>0</v>
      </c>
      <c r="S1224" s="11"/>
    </row>
    <row r="1225" ht="13.5" customHeight="1" spans="1:19">
      <c r="A1225" s="4" t="s">
        <v>57</v>
      </c>
      <c r="B1225" s="3">
        <v>1847</v>
      </c>
      <c r="C1225" s="3">
        <v>10763</v>
      </c>
      <c r="D1225" s="3">
        <v>0.1</v>
      </c>
      <c r="E1225" s="4" t="s">
        <v>52</v>
      </c>
      <c r="F1225" s="4" t="s">
        <v>175</v>
      </c>
      <c r="G1225" s="4" t="s">
        <v>83</v>
      </c>
      <c r="H1225" s="4" t="s">
        <v>25</v>
      </c>
      <c r="I1225" s="4" t="s">
        <v>156</v>
      </c>
      <c r="J1225" s="3">
        <v>4</v>
      </c>
      <c r="K1225" s="3">
        <v>25</v>
      </c>
      <c r="L1225" s="3">
        <v>23</v>
      </c>
      <c r="M1225" s="3">
        <v>0</v>
      </c>
      <c r="N1225" s="3">
        <v>1</v>
      </c>
      <c r="O1225" s="3">
        <v>1</v>
      </c>
      <c r="P1225" s="3">
        <f t="shared" si="0"/>
        <v>0</v>
      </c>
      <c r="Q1225" s="3">
        <f t="shared" si="1"/>
        <v>95.8333333333333</v>
      </c>
      <c r="R1225" s="3">
        <f t="shared" si="2"/>
        <v>4.16666666666667</v>
      </c>
      <c r="S1225" s="11"/>
    </row>
    <row r="1226" ht="13.5" customHeight="1" spans="1:21">
      <c r="A1226" s="4" t="s">
        <v>118</v>
      </c>
      <c r="B1226" s="3">
        <v>1138</v>
      </c>
      <c r="C1226" s="3">
        <v>7122</v>
      </c>
      <c r="D1226" s="3">
        <v>0.1</v>
      </c>
      <c r="E1226" s="4" t="s">
        <v>22</v>
      </c>
      <c r="F1226" s="4" t="s">
        <v>176</v>
      </c>
      <c r="G1226" s="3" t="s">
        <v>177</v>
      </c>
      <c r="H1226" s="4" t="s">
        <v>25</v>
      </c>
      <c r="I1226" s="4" t="s">
        <v>156</v>
      </c>
      <c r="J1226" s="3">
        <v>1</v>
      </c>
      <c r="K1226" s="3">
        <v>25</v>
      </c>
      <c r="L1226" s="3">
        <v>21</v>
      </c>
      <c r="M1226" s="3">
        <v>4</v>
      </c>
      <c r="N1226" s="3">
        <v>0</v>
      </c>
      <c r="O1226" s="3">
        <v>0</v>
      </c>
      <c r="P1226" s="3">
        <f t="shared" si="0"/>
        <v>0</v>
      </c>
      <c r="Q1226" s="3">
        <f t="shared" si="1"/>
        <v>84</v>
      </c>
      <c r="R1226" s="3">
        <f t="shared" si="2"/>
        <v>0</v>
      </c>
      <c r="S1226" s="11">
        <f>AVERAGE(Q1226:Q1229)</f>
        <v>94</v>
      </c>
      <c r="T1226" s="7">
        <f>AVERAGE(R1226:R1229)</f>
        <v>0</v>
      </c>
      <c r="U1226" s="8">
        <f>(L1226+L1227+L1228+L1229+O1226+O1227+O1228+O1229)/(K1226+K1227+K1228+K1229)*100</f>
        <v>94</v>
      </c>
    </row>
    <row r="1227" ht="13.5" customHeight="1" spans="1:19">
      <c r="A1227" s="4" t="s">
        <v>118</v>
      </c>
      <c r="B1227" s="3">
        <v>1138</v>
      </c>
      <c r="C1227" s="3">
        <v>7122</v>
      </c>
      <c r="D1227" s="3">
        <v>0.1</v>
      </c>
      <c r="E1227" s="4" t="s">
        <v>22</v>
      </c>
      <c r="F1227" s="4" t="s">
        <v>176</v>
      </c>
      <c r="G1227" s="3" t="s">
        <v>177</v>
      </c>
      <c r="H1227" s="4" t="s">
        <v>25</v>
      </c>
      <c r="I1227" s="4" t="s">
        <v>156</v>
      </c>
      <c r="J1227" s="3">
        <v>2</v>
      </c>
      <c r="K1227" s="3">
        <v>25</v>
      </c>
      <c r="L1227" s="3">
        <v>25</v>
      </c>
      <c r="M1227" s="3">
        <v>0</v>
      </c>
      <c r="N1227" s="3">
        <v>0</v>
      </c>
      <c r="O1227" s="3">
        <v>0</v>
      </c>
      <c r="P1227" s="3">
        <f t="shared" si="0"/>
        <v>0</v>
      </c>
      <c r="Q1227" s="3">
        <f t="shared" si="1"/>
        <v>100</v>
      </c>
      <c r="R1227" s="3">
        <f t="shared" si="2"/>
        <v>0</v>
      </c>
      <c r="S1227" s="11"/>
    </row>
    <row r="1228" ht="13.5" customHeight="1" spans="1:19">
      <c r="A1228" s="4" t="s">
        <v>118</v>
      </c>
      <c r="B1228" s="3">
        <v>1138</v>
      </c>
      <c r="C1228" s="3">
        <v>7122</v>
      </c>
      <c r="D1228" s="3">
        <v>0.1</v>
      </c>
      <c r="E1228" s="4" t="s">
        <v>22</v>
      </c>
      <c r="F1228" s="4" t="s">
        <v>176</v>
      </c>
      <c r="G1228" s="3" t="s">
        <v>177</v>
      </c>
      <c r="H1228" s="4" t="s">
        <v>25</v>
      </c>
      <c r="I1228" s="4" t="s">
        <v>156</v>
      </c>
      <c r="J1228" s="3">
        <v>3</v>
      </c>
      <c r="K1228" s="3">
        <v>25</v>
      </c>
      <c r="L1228" s="3">
        <v>24</v>
      </c>
      <c r="M1228" s="3">
        <v>1</v>
      </c>
      <c r="N1228" s="3">
        <v>0</v>
      </c>
      <c r="O1228" s="3">
        <v>0</v>
      </c>
      <c r="P1228" s="3">
        <f t="shared" si="0"/>
        <v>0</v>
      </c>
      <c r="Q1228" s="3">
        <f t="shared" si="1"/>
        <v>96</v>
      </c>
      <c r="R1228" s="3">
        <f t="shared" si="2"/>
        <v>0</v>
      </c>
      <c r="S1228" s="11"/>
    </row>
    <row r="1229" ht="13.5" customHeight="1" spans="1:19">
      <c r="A1229" s="4" t="s">
        <v>118</v>
      </c>
      <c r="B1229" s="3">
        <v>1138</v>
      </c>
      <c r="C1229" s="3">
        <v>7122</v>
      </c>
      <c r="D1229" s="3">
        <v>0.1</v>
      </c>
      <c r="E1229" s="4" t="s">
        <v>22</v>
      </c>
      <c r="F1229" s="4" t="s">
        <v>176</v>
      </c>
      <c r="G1229" s="3" t="s">
        <v>177</v>
      </c>
      <c r="H1229" s="4" t="s">
        <v>25</v>
      </c>
      <c r="I1229" s="4" t="s">
        <v>156</v>
      </c>
      <c r="J1229" s="3">
        <v>4</v>
      </c>
      <c r="K1229" s="3">
        <v>25</v>
      </c>
      <c r="L1229" s="3">
        <v>24</v>
      </c>
      <c r="M1229" s="3">
        <v>1</v>
      </c>
      <c r="N1229" s="3">
        <v>0</v>
      </c>
      <c r="O1229" s="3">
        <v>0</v>
      </c>
      <c r="P1229" s="3">
        <f t="shared" si="0"/>
        <v>0</v>
      </c>
      <c r="Q1229" s="3">
        <f t="shared" si="1"/>
        <v>96</v>
      </c>
      <c r="R1229" s="3">
        <f t="shared" si="2"/>
        <v>0</v>
      </c>
      <c r="S1229" s="11"/>
    </row>
    <row r="1230" ht="13.5" customHeight="1" spans="1:21">
      <c r="A1230" s="4" t="s">
        <v>120</v>
      </c>
      <c r="B1230" s="3">
        <v>1147</v>
      </c>
      <c r="C1230" s="3">
        <v>7497</v>
      </c>
      <c r="D1230" s="3">
        <v>1</v>
      </c>
      <c r="E1230" s="4" t="s">
        <v>22</v>
      </c>
      <c r="F1230" s="4" t="s">
        <v>159</v>
      </c>
      <c r="G1230" s="3" t="s">
        <v>160</v>
      </c>
      <c r="H1230" s="4" t="s">
        <v>40</v>
      </c>
      <c r="I1230" s="4" t="s">
        <v>156</v>
      </c>
      <c r="J1230" s="3">
        <v>1</v>
      </c>
      <c r="K1230" s="3">
        <v>25</v>
      </c>
      <c r="L1230" s="3">
        <v>22</v>
      </c>
      <c r="M1230" s="3">
        <v>2</v>
      </c>
      <c r="N1230" s="3">
        <v>1</v>
      </c>
      <c r="O1230" s="3">
        <v>0</v>
      </c>
      <c r="P1230" s="3">
        <f t="shared" si="0"/>
        <v>0</v>
      </c>
      <c r="Q1230" s="3">
        <f t="shared" si="1"/>
        <v>91.6666666666667</v>
      </c>
      <c r="R1230" s="3">
        <f t="shared" si="2"/>
        <v>0</v>
      </c>
      <c r="S1230" s="11">
        <f>AVERAGE(Q1230:Q1233)</f>
        <v>94.6439393939394</v>
      </c>
      <c r="T1230" s="7">
        <f>AVERAGE(R1230:R1233)</f>
        <v>3.27272727272727</v>
      </c>
      <c r="U1230" s="8">
        <f>(L1230+L1231+L1232+L1233+O1230+O1231+O1232+O1233)/(K1230+K1231+K1232+K1233)*100</f>
        <v>94</v>
      </c>
    </row>
    <row r="1231" ht="13.5" customHeight="1" spans="1:19">
      <c r="A1231" s="4" t="s">
        <v>120</v>
      </c>
      <c r="B1231" s="3">
        <v>1147</v>
      </c>
      <c r="C1231" s="3">
        <v>7497</v>
      </c>
      <c r="D1231" s="3">
        <v>1</v>
      </c>
      <c r="E1231" s="4" t="s">
        <v>22</v>
      </c>
      <c r="F1231" s="4" t="s">
        <v>159</v>
      </c>
      <c r="G1231" s="3" t="s">
        <v>160</v>
      </c>
      <c r="H1231" s="4" t="s">
        <v>40</v>
      </c>
      <c r="I1231" s="4" t="s">
        <v>156</v>
      </c>
      <c r="J1231" s="3">
        <v>2</v>
      </c>
      <c r="K1231" s="3">
        <v>25</v>
      </c>
      <c r="L1231" s="3">
        <v>20</v>
      </c>
      <c r="M1231" s="3">
        <v>0</v>
      </c>
      <c r="N1231" s="3">
        <v>3</v>
      </c>
      <c r="O1231" s="3">
        <v>2</v>
      </c>
      <c r="P1231" s="3">
        <f t="shared" si="0"/>
        <v>0</v>
      </c>
      <c r="Q1231" s="3">
        <f t="shared" si="1"/>
        <v>90.9090909090909</v>
      </c>
      <c r="R1231" s="3">
        <f t="shared" si="2"/>
        <v>9.09090909090909</v>
      </c>
      <c r="S1231" s="11"/>
    </row>
    <row r="1232" ht="13.5" customHeight="1" spans="1:19">
      <c r="A1232" s="4" t="s">
        <v>120</v>
      </c>
      <c r="B1232" s="3">
        <v>1147</v>
      </c>
      <c r="C1232" s="3">
        <v>7497</v>
      </c>
      <c r="D1232" s="3">
        <v>1</v>
      </c>
      <c r="E1232" s="4" t="s">
        <v>22</v>
      </c>
      <c r="F1232" s="4" t="s">
        <v>159</v>
      </c>
      <c r="G1232" s="3" t="s">
        <v>160</v>
      </c>
      <c r="H1232" s="4" t="s">
        <v>40</v>
      </c>
      <c r="I1232" s="4" t="s">
        <v>156</v>
      </c>
      <c r="J1232" s="3">
        <v>3</v>
      </c>
      <c r="K1232" s="3">
        <v>25</v>
      </c>
      <c r="L1232" s="3">
        <v>24</v>
      </c>
      <c r="M1232" s="3">
        <v>0</v>
      </c>
      <c r="N1232" s="3">
        <v>0</v>
      </c>
      <c r="O1232" s="3">
        <v>1</v>
      </c>
      <c r="P1232" s="3">
        <f t="shared" si="0"/>
        <v>0</v>
      </c>
      <c r="Q1232" s="3">
        <f t="shared" si="1"/>
        <v>96</v>
      </c>
      <c r="R1232" s="3">
        <f t="shared" si="2"/>
        <v>4</v>
      </c>
      <c r="S1232" s="11"/>
    </row>
    <row r="1233" ht="13.5" customHeight="1" spans="1:19">
      <c r="A1233" s="4" t="s">
        <v>120</v>
      </c>
      <c r="B1233" s="3">
        <v>1147</v>
      </c>
      <c r="C1233" s="3">
        <v>7497</v>
      </c>
      <c r="D1233" s="3">
        <v>1</v>
      </c>
      <c r="E1233" s="4" t="s">
        <v>22</v>
      </c>
      <c r="F1233" s="4" t="s">
        <v>159</v>
      </c>
      <c r="G1233" s="3" t="s">
        <v>160</v>
      </c>
      <c r="H1233" s="4" t="s">
        <v>40</v>
      </c>
      <c r="I1233" s="4" t="s">
        <v>156</v>
      </c>
      <c r="J1233" s="3">
        <v>4</v>
      </c>
      <c r="K1233" s="3">
        <v>25</v>
      </c>
      <c r="L1233" s="3">
        <v>25</v>
      </c>
      <c r="M1233" s="3">
        <v>0</v>
      </c>
      <c r="N1233" s="3">
        <v>0</v>
      </c>
      <c r="O1233" s="3">
        <v>0</v>
      </c>
      <c r="P1233" s="3">
        <f t="shared" si="0"/>
        <v>0</v>
      </c>
      <c r="Q1233" s="3">
        <f t="shared" si="1"/>
        <v>100</v>
      </c>
      <c r="R1233" s="3">
        <f t="shared" si="2"/>
        <v>0</v>
      </c>
      <c r="S1233" s="11"/>
    </row>
    <row r="1234" ht="13.5" customHeight="1" spans="1:21">
      <c r="A1234" s="4" t="s">
        <v>66</v>
      </c>
      <c r="B1234" s="3">
        <v>1153</v>
      </c>
      <c r="C1234" s="3">
        <v>7684</v>
      </c>
      <c r="D1234" s="3">
        <v>1</v>
      </c>
      <c r="E1234" s="4" t="s">
        <v>33</v>
      </c>
      <c r="F1234" s="4" t="s">
        <v>178</v>
      </c>
      <c r="G1234" s="3" t="s">
        <v>179</v>
      </c>
      <c r="H1234" s="4" t="s">
        <v>134</v>
      </c>
      <c r="I1234" s="4" t="s">
        <v>156</v>
      </c>
      <c r="J1234" s="3">
        <v>1</v>
      </c>
      <c r="K1234" s="3">
        <v>25</v>
      </c>
      <c r="L1234" s="3">
        <v>8</v>
      </c>
      <c r="M1234" s="3">
        <v>3</v>
      </c>
      <c r="N1234" s="3">
        <v>11</v>
      </c>
      <c r="O1234" s="3">
        <v>3</v>
      </c>
      <c r="P1234" s="3">
        <f t="shared" si="0"/>
        <v>0</v>
      </c>
      <c r="Q1234" s="3">
        <f t="shared" si="1"/>
        <v>57.1428571428571</v>
      </c>
      <c r="R1234" s="3">
        <f t="shared" si="2"/>
        <v>21.4285714285714</v>
      </c>
      <c r="S1234" s="11">
        <f>AVERAGE(Q1234:Q1237)</f>
        <v>55.7876905702993</v>
      </c>
      <c r="T1234" s="7">
        <f>AVERAGE(R1234:R1237)</f>
        <v>19.9322416713721</v>
      </c>
      <c r="U1234" s="8">
        <f>(L1234+L1235+L1236+L1237+O1234+O1235+O1236+O1237)/(K1234+K1235+K1236+K1237)*100</f>
        <v>62.2448979591837</v>
      </c>
    </row>
    <row r="1235" ht="13.5" customHeight="1" spans="1:19">
      <c r="A1235" s="4" t="s">
        <v>66</v>
      </c>
      <c r="B1235" s="3">
        <v>1153</v>
      </c>
      <c r="C1235" s="3">
        <v>7684</v>
      </c>
      <c r="D1235" s="3">
        <v>1</v>
      </c>
      <c r="E1235" s="4" t="s">
        <v>33</v>
      </c>
      <c r="F1235" s="4" t="s">
        <v>178</v>
      </c>
      <c r="G1235" s="3" t="s">
        <v>179</v>
      </c>
      <c r="H1235" s="4" t="s">
        <v>134</v>
      </c>
      <c r="I1235" s="4" t="s">
        <v>156</v>
      </c>
      <c r="J1235" s="3">
        <v>2</v>
      </c>
      <c r="K1235" s="3">
        <v>25</v>
      </c>
      <c r="L1235" s="3">
        <v>10</v>
      </c>
      <c r="M1235" s="3">
        <v>5</v>
      </c>
      <c r="N1235" s="3">
        <v>3</v>
      </c>
      <c r="O1235" s="3">
        <v>7</v>
      </c>
      <c r="P1235" s="3">
        <f t="shared" si="0"/>
        <v>0</v>
      </c>
      <c r="Q1235" s="3">
        <f t="shared" si="1"/>
        <v>45.4545454545455</v>
      </c>
      <c r="R1235" s="3">
        <f t="shared" si="2"/>
        <v>31.8181818181818</v>
      </c>
      <c r="S1235" s="11"/>
    </row>
    <row r="1236" ht="13.5" customHeight="1" spans="1:19">
      <c r="A1236" s="4" t="s">
        <v>66</v>
      </c>
      <c r="B1236" s="3">
        <v>1153</v>
      </c>
      <c r="C1236" s="3">
        <v>7684</v>
      </c>
      <c r="D1236" s="3">
        <v>1</v>
      </c>
      <c r="E1236" s="4" t="s">
        <v>33</v>
      </c>
      <c r="F1236" s="4" t="s">
        <v>178</v>
      </c>
      <c r="G1236" s="3" t="s">
        <v>179</v>
      </c>
      <c r="H1236" s="4" t="s">
        <v>134</v>
      </c>
      <c r="I1236" s="4" t="s">
        <v>156</v>
      </c>
      <c r="J1236" s="3">
        <v>3</v>
      </c>
      <c r="K1236" s="3">
        <v>23</v>
      </c>
      <c r="L1236" s="3">
        <v>11</v>
      </c>
      <c r="M1236" s="3">
        <v>8</v>
      </c>
      <c r="N1236" s="3">
        <v>0</v>
      </c>
      <c r="O1236" s="3">
        <v>4</v>
      </c>
      <c r="P1236" s="3">
        <f t="shared" si="0"/>
        <v>0</v>
      </c>
      <c r="Q1236" s="3">
        <f t="shared" si="1"/>
        <v>47.8260869565217</v>
      </c>
      <c r="R1236" s="3">
        <f t="shared" si="2"/>
        <v>17.3913043478261</v>
      </c>
      <c r="S1236" s="11"/>
    </row>
    <row r="1237" ht="13.5" customHeight="1" spans="1:19">
      <c r="A1237" s="4" t="s">
        <v>66</v>
      </c>
      <c r="B1237" s="3">
        <v>1153</v>
      </c>
      <c r="C1237" s="3">
        <v>7684</v>
      </c>
      <c r="D1237" s="3">
        <v>1</v>
      </c>
      <c r="E1237" s="4" t="s">
        <v>33</v>
      </c>
      <c r="F1237" s="4" t="s">
        <v>178</v>
      </c>
      <c r="G1237" s="3" t="s">
        <v>179</v>
      </c>
      <c r="H1237" s="4" t="s">
        <v>134</v>
      </c>
      <c r="I1237" s="4" t="s">
        <v>156</v>
      </c>
      <c r="J1237" s="3">
        <v>4</v>
      </c>
      <c r="K1237" s="3">
        <v>25</v>
      </c>
      <c r="L1237" s="3">
        <v>16</v>
      </c>
      <c r="M1237" s="3">
        <v>4</v>
      </c>
      <c r="N1237" s="3">
        <v>3</v>
      </c>
      <c r="O1237" s="3">
        <v>2</v>
      </c>
      <c r="P1237" s="3">
        <f t="shared" si="0"/>
        <v>0</v>
      </c>
      <c r="Q1237" s="3">
        <f t="shared" si="1"/>
        <v>72.7272727272727</v>
      </c>
      <c r="R1237" s="3">
        <f t="shared" si="2"/>
        <v>9.09090909090909</v>
      </c>
      <c r="S1237" s="11"/>
    </row>
    <row r="1238" ht="13.5" customHeight="1" spans="1:21">
      <c r="A1238" s="4" t="s">
        <v>27</v>
      </c>
      <c r="B1238" s="3">
        <v>1204</v>
      </c>
      <c r="C1238" s="3">
        <v>7100</v>
      </c>
      <c r="D1238" s="3">
        <v>0.1</v>
      </c>
      <c r="E1238" s="4" t="s">
        <v>33</v>
      </c>
      <c r="F1238" s="4" t="s">
        <v>180</v>
      </c>
      <c r="G1238" s="3" t="s">
        <v>181</v>
      </c>
      <c r="H1238" s="4" t="s">
        <v>31</v>
      </c>
      <c r="I1238" s="4" t="s">
        <v>156</v>
      </c>
      <c r="J1238" s="3">
        <v>1</v>
      </c>
      <c r="K1238" s="3">
        <v>24</v>
      </c>
      <c r="L1238" s="3">
        <v>0</v>
      </c>
      <c r="M1238" s="3">
        <v>9</v>
      </c>
      <c r="N1238" s="3">
        <v>2</v>
      </c>
      <c r="O1238" s="3">
        <v>13</v>
      </c>
      <c r="P1238" s="3">
        <f t="shared" si="0"/>
        <v>0</v>
      </c>
      <c r="Q1238" s="3">
        <f t="shared" si="1"/>
        <v>0</v>
      </c>
      <c r="R1238" s="3">
        <f t="shared" si="2"/>
        <v>59.0909090909091</v>
      </c>
      <c r="S1238" s="11">
        <f>AVERAGE(Q1238:Q1241)</f>
        <v>4.26136363636364</v>
      </c>
      <c r="T1238" s="7">
        <f>AVERAGE(R1238:R1241)</f>
        <v>46.7803030303031</v>
      </c>
      <c r="U1238" s="8">
        <f>(L1238+L1239+L1240+L1241+O1238+O1239+O1240+O1241)/(K1238+K1239+K1240+K1241)*100</f>
        <v>48.4536082474227</v>
      </c>
    </row>
    <row r="1239" ht="13.5" customHeight="1" spans="1:19">
      <c r="A1239" s="4" t="s">
        <v>27</v>
      </c>
      <c r="B1239" s="3">
        <v>1204</v>
      </c>
      <c r="C1239" s="3">
        <v>7100</v>
      </c>
      <c r="D1239" s="3">
        <v>0.1</v>
      </c>
      <c r="E1239" s="4" t="s">
        <v>33</v>
      </c>
      <c r="F1239" s="4" t="s">
        <v>180</v>
      </c>
      <c r="G1239" s="3" t="s">
        <v>181</v>
      </c>
      <c r="H1239" s="4" t="s">
        <v>31</v>
      </c>
      <c r="I1239" s="4" t="s">
        <v>156</v>
      </c>
      <c r="J1239" s="3">
        <v>2</v>
      </c>
      <c r="K1239" s="3">
        <v>25</v>
      </c>
      <c r="L1239" s="3">
        <v>0</v>
      </c>
      <c r="M1239" s="3">
        <v>11</v>
      </c>
      <c r="N1239" s="3">
        <v>1</v>
      </c>
      <c r="O1239" s="3">
        <v>13</v>
      </c>
      <c r="P1239" s="3">
        <f t="shared" si="0"/>
        <v>0</v>
      </c>
      <c r="Q1239" s="3">
        <f t="shared" si="1"/>
        <v>0</v>
      </c>
      <c r="R1239" s="3">
        <f t="shared" si="2"/>
        <v>54.1666666666667</v>
      </c>
      <c r="S1239" s="11"/>
    </row>
    <row r="1240" ht="13.5" customHeight="1" spans="1:19">
      <c r="A1240" s="4" t="s">
        <v>27</v>
      </c>
      <c r="B1240" s="3">
        <v>1204</v>
      </c>
      <c r="C1240" s="3">
        <v>7100</v>
      </c>
      <c r="D1240" s="3">
        <v>0.1</v>
      </c>
      <c r="E1240" s="4" t="s">
        <v>33</v>
      </c>
      <c r="F1240" s="4" t="s">
        <v>180</v>
      </c>
      <c r="G1240" s="3" t="s">
        <v>181</v>
      </c>
      <c r="H1240" s="4" t="s">
        <v>31</v>
      </c>
      <c r="I1240" s="4" t="s">
        <v>156</v>
      </c>
      <c r="J1240" s="3">
        <v>3</v>
      </c>
      <c r="K1240" s="3">
        <v>23</v>
      </c>
      <c r="L1240" s="3">
        <v>1</v>
      </c>
      <c r="M1240" s="3">
        <v>13</v>
      </c>
      <c r="N1240" s="3">
        <v>1</v>
      </c>
      <c r="O1240" s="3">
        <v>8</v>
      </c>
      <c r="P1240" s="3">
        <f t="shared" si="0"/>
        <v>0</v>
      </c>
      <c r="Q1240" s="3">
        <f t="shared" si="1"/>
        <v>4.54545454545455</v>
      </c>
      <c r="R1240" s="3">
        <f t="shared" si="2"/>
        <v>36.3636363636364</v>
      </c>
      <c r="S1240" s="11"/>
    </row>
    <row r="1241" ht="13.5" customHeight="1" spans="1:19">
      <c r="A1241" s="4" t="s">
        <v>27</v>
      </c>
      <c r="B1241" s="3">
        <v>1204</v>
      </c>
      <c r="C1241" s="3">
        <v>7100</v>
      </c>
      <c r="D1241" s="3">
        <v>0.1</v>
      </c>
      <c r="E1241" s="4" t="s">
        <v>33</v>
      </c>
      <c r="F1241" s="4" t="s">
        <v>180</v>
      </c>
      <c r="G1241" s="3" t="s">
        <v>181</v>
      </c>
      <c r="H1241" s="4" t="s">
        <v>31</v>
      </c>
      <c r="I1241" s="4" t="s">
        <v>156</v>
      </c>
      <c r="J1241" s="3">
        <v>4</v>
      </c>
      <c r="K1241" s="3">
        <v>25</v>
      </c>
      <c r="L1241" s="3">
        <v>3</v>
      </c>
      <c r="M1241" s="3">
        <v>12</v>
      </c>
      <c r="N1241" s="3">
        <v>1</v>
      </c>
      <c r="O1241" s="3">
        <v>9</v>
      </c>
      <c r="P1241" s="3">
        <f t="shared" si="0"/>
        <v>0</v>
      </c>
      <c r="Q1241" s="3">
        <f t="shared" si="1"/>
        <v>12.5</v>
      </c>
      <c r="R1241" s="3">
        <f t="shared" si="2"/>
        <v>37.5</v>
      </c>
      <c r="S1241" s="11"/>
    </row>
    <row r="1242" ht="13.5" customHeight="1" spans="1:21">
      <c r="A1242" s="4" t="s">
        <v>85</v>
      </c>
      <c r="B1242" s="3">
        <v>1167</v>
      </c>
      <c r="C1242" s="3">
        <v>7918</v>
      </c>
      <c r="D1242" s="3">
        <v>0.1</v>
      </c>
      <c r="E1242" s="4" t="s">
        <v>33</v>
      </c>
      <c r="F1242" s="4" t="s">
        <v>178</v>
      </c>
      <c r="G1242" s="3" t="s">
        <v>179</v>
      </c>
      <c r="H1242" s="4" t="s">
        <v>134</v>
      </c>
      <c r="I1242" s="4" t="s">
        <v>156</v>
      </c>
      <c r="J1242" s="3">
        <v>1</v>
      </c>
      <c r="K1242" s="3">
        <v>20</v>
      </c>
      <c r="L1242" s="3">
        <v>9</v>
      </c>
      <c r="M1242" s="3">
        <v>2</v>
      </c>
      <c r="N1242" s="3">
        <v>1</v>
      </c>
      <c r="O1242" s="3">
        <v>8</v>
      </c>
      <c r="P1242" s="3">
        <f t="shared" si="0"/>
        <v>0</v>
      </c>
      <c r="Q1242" s="3">
        <f t="shared" si="1"/>
        <v>47.3684210526316</v>
      </c>
      <c r="R1242" s="3">
        <f t="shared" si="2"/>
        <v>42.1052631578947</v>
      </c>
      <c r="S1242" s="11">
        <f>AVERAGE(Q1242:Q1245)</f>
        <v>49.6345029239766</v>
      </c>
      <c r="T1242" s="7">
        <f>AVERAGE(R1242:R1245)</f>
        <v>41.0818713450292</v>
      </c>
      <c r="U1242" s="8">
        <f>(L1242+L1243+L1244+L1245+O1242+O1243+O1244+O1245)/(K1242+K1243+K1244+K1245)*100</f>
        <v>85</v>
      </c>
    </row>
    <row r="1243" ht="13.5" customHeight="1" spans="1:19">
      <c r="A1243" s="4" t="s">
        <v>85</v>
      </c>
      <c r="B1243" s="3">
        <v>1167</v>
      </c>
      <c r="C1243" s="3">
        <v>7918</v>
      </c>
      <c r="D1243" s="3">
        <v>0.1</v>
      </c>
      <c r="E1243" s="4" t="s">
        <v>33</v>
      </c>
      <c r="F1243" s="4" t="s">
        <v>178</v>
      </c>
      <c r="G1243" s="3" t="s">
        <v>179</v>
      </c>
      <c r="H1243" s="4" t="s">
        <v>134</v>
      </c>
      <c r="I1243" s="4" t="s">
        <v>156</v>
      </c>
      <c r="J1243" s="3">
        <v>2</v>
      </c>
      <c r="K1243" s="3">
        <v>20</v>
      </c>
      <c r="L1243" s="3">
        <v>4</v>
      </c>
      <c r="M1243" s="3">
        <v>4</v>
      </c>
      <c r="N1243" s="3">
        <v>1</v>
      </c>
      <c r="O1243" s="3">
        <v>11</v>
      </c>
      <c r="P1243" s="3">
        <f t="shared" si="0"/>
        <v>0</v>
      </c>
      <c r="Q1243" s="3">
        <f t="shared" si="1"/>
        <v>21.0526315789474</v>
      </c>
      <c r="R1243" s="3">
        <f t="shared" si="2"/>
        <v>57.8947368421053</v>
      </c>
      <c r="S1243" s="11"/>
    </row>
    <row r="1244" ht="13.5" customHeight="1" spans="1:19">
      <c r="A1244" s="4" t="s">
        <v>85</v>
      </c>
      <c r="B1244" s="3">
        <v>1167</v>
      </c>
      <c r="C1244" s="3">
        <v>7918</v>
      </c>
      <c r="D1244" s="3">
        <v>0.1</v>
      </c>
      <c r="E1244" s="4" t="s">
        <v>33</v>
      </c>
      <c r="F1244" s="4" t="s">
        <v>178</v>
      </c>
      <c r="G1244" s="3" t="s">
        <v>179</v>
      </c>
      <c r="H1244" s="4" t="s">
        <v>134</v>
      </c>
      <c r="I1244" s="4" t="s">
        <v>156</v>
      </c>
      <c r="J1244" s="3">
        <v>3</v>
      </c>
      <c r="K1244" s="3">
        <v>20</v>
      </c>
      <c r="L1244" s="3">
        <v>11</v>
      </c>
      <c r="M1244" s="3">
        <v>0</v>
      </c>
      <c r="N1244" s="3">
        <v>1</v>
      </c>
      <c r="O1244" s="3">
        <v>8</v>
      </c>
      <c r="P1244" s="3">
        <f t="shared" si="0"/>
        <v>0</v>
      </c>
      <c r="Q1244" s="3">
        <f t="shared" si="1"/>
        <v>57.8947368421053</v>
      </c>
      <c r="R1244" s="3">
        <f t="shared" si="2"/>
        <v>42.1052631578947</v>
      </c>
      <c r="S1244" s="11"/>
    </row>
    <row r="1245" ht="13.5" customHeight="1" spans="1:19">
      <c r="A1245" s="4" t="s">
        <v>85</v>
      </c>
      <c r="B1245" s="3">
        <v>1167</v>
      </c>
      <c r="C1245" s="3">
        <v>7918</v>
      </c>
      <c r="D1245" s="3">
        <v>0.1</v>
      </c>
      <c r="E1245" s="4" t="s">
        <v>33</v>
      </c>
      <c r="F1245" s="4" t="s">
        <v>178</v>
      </c>
      <c r="G1245" s="3" t="s">
        <v>179</v>
      </c>
      <c r="H1245" s="4" t="s">
        <v>134</v>
      </c>
      <c r="I1245" s="4" t="s">
        <v>156</v>
      </c>
      <c r="J1245" s="3">
        <v>4</v>
      </c>
      <c r="K1245" s="3">
        <v>20</v>
      </c>
      <c r="L1245" s="3">
        <v>13</v>
      </c>
      <c r="M1245" s="3">
        <v>1</v>
      </c>
      <c r="N1245" s="3">
        <v>2</v>
      </c>
      <c r="O1245" s="3">
        <v>4</v>
      </c>
      <c r="P1245" s="3">
        <f t="shared" si="0"/>
        <v>0</v>
      </c>
      <c r="Q1245" s="3">
        <f t="shared" si="1"/>
        <v>72.2222222222222</v>
      </c>
      <c r="R1245" s="3">
        <f t="shared" si="2"/>
        <v>22.2222222222222</v>
      </c>
      <c r="S1245" s="11"/>
    </row>
    <row r="1246" ht="13.5" customHeight="1" spans="1:21">
      <c r="A1246" s="4" t="s">
        <v>36</v>
      </c>
      <c r="B1246" s="3">
        <v>1294</v>
      </c>
      <c r="C1246" s="3">
        <v>8842</v>
      </c>
      <c r="D1246" s="3">
        <v>0.1</v>
      </c>
      <c r="E1246" s="4" t="s">
        <v>33</v>
      </c>
      <c r="F1246" s="4" t="s">
        <v>178</v>
      </c>
      <c r="G1246" s="3" t="s">
        <v>179</v>
      </c>
      <c r="H1246" s="4" t="s">
        <v>134</v>
      </c>
      <c r="I1246" s="4" t="s">
        <v>156</v>
      </c>
      <c r="J1246" s="3">
        <v>1</v>
      </c>
      <c r="K1246" s="3">
        <v>20</v>
      </c>
      <c r="L1246" s="3">
        <v>5</v>
      </c>
      <c r="M1246" s="3">
        <v>5</v>
      </c>
      <c r="N1246" s="3">
        <v>3</v>
      </c>
      <c r="O1246" s="3">
        <v>7</v>
      </c>
      <c r="P1246" s="3">
        <f t="shared" si="0"/>
        <v>0</v>
      </c>
      <c r="Q1246" s="3">
        <f t="shared" si="1"/>
        <v>29.4117647058824</v>
      </c>
      <c r="R1246" s="3">
        <f t="shared" si="2"/>
        <v>41.1764705882353</v>
      </c>
      <c r="S1246" s="11">
        <f>AVERAGE(Q1246:Q1249)</f>
        <v>52.3013415892673</v>
      </c>
      <c r="T1246" s="7">
        <f>AVERAGE(R1246:R1249)</f>
        <v>35.6965944272446</v>
      </c>
      <c r="U1246" s="8">
        <f>(L1246+L1247+L1248+L1249+O1246+O1247+O1248+O1249)/(K1246+K1247+K1248+K1249)*100</f>
        <v>75</v>
      </c>
    </row>
    <row r="1247" ht="13.5" customHeight="1" spans="1:19">
      <c r="A1247" s="4" t="s">
        <v>36</v>
      </c>
      <c r="B1247" s="3">
        <v>1294</v>
      </c>
      <c r="C1247" s="3">
        <v>8842</v>
      </c>
      <c r="D1247" s="3">
        <v>0.1</v>
      </c>
      <c r="E1247" s="4" t="s">
        <v>33</v>
      </c>
      <c r="F1247" s="4" t="s">
        <v>178</v>
      </c>
      <c r="G1247" s="3" t="s">
        <v>179</v>
      </c>
      <c r="H1247" s="4" t="s">
        <v>134</v>
      </c>
      <c r="I1247" s="4" t="s">
        <v>156</v>
      </c>
      <c r="J1247" s="3">
        <v>2</v>
      </c>
      <c r="K1247" s="3">
        <v>20</v>
      </c>
      <c r="L1247" s="3">
        <v>7</v>
      </c>
      <c r="M1247" s="3">
        <v>2</v>
      </c>
      <c r="N1247" s="3">
        <v>5</v>
      </c>
      <c r="O1247" s="3">
        <v>6</v>
      </c>
      <c r="P1247" s="3">
        <f t="shared" si="0"/>
        <v>0</v>
      </c>
      <c r="Q1247" s="3">
        <f t="shared" si="1"/>
        <v>46.6666666666667</v>
      </c>
      <c r="R1247" s="3">
        <f t="shared" si="2"/>
        <v>40</v>
      </c>
      <c r="S1247" s="11"/>
    </row>
    <row r="1248" ht="13.5" customHeight="1" spans="1:19">
      <c r="A1248" s="4" t="s">
        <v>36</v>
      </c>
      <c r="B1248" s="3">
        <v>1294</v>
      </c>
      <c r="C1248" s="3">
        <v>8842</v>
      </c>
      <c r="D1248" s="3">
        <v>0.1</v>
      </c>
      <c r="E1248" s="4" t="s">
        <v>33</v>
      </c>
      <c r="F1248" s="4" t="s">
        <v>178</v>
      </c>
      <c r="G1248" s="3" t="s">
        <v>179</v>
      </c>
      <c r="H1248" s="4" t="s">
        <v>134</v>
      </c>
      <c r="I1248" s="4" t="s">
        <v>156</v>
      </c>
      <c r="J1248" s="3">
        <v>3</v>
      </c>
      <c r="K1248" s="3">
        <v>20</v>
      </c>
      <c r="L1248" s="3">
        <v>11</v>
      </c>
      <c r="M1248" s="3">
        <v>0</v>
      </c>
      <c r="N1248" s="3">
        <v>3</v>
      </c>
      <c r="O1248" s="3">
        <v>6</v>
      </c>
      <c r="P1248" s="3">
        <f t="shared" si="0"/>
        <v>0</v>
      </c>
      <c r="Q1248" s="3">
        <f t="shared" si="1"/>
        <v>64.7058823529412</v>
      </c>
      <c r="R1248" s="3">
        <f t="shared" si="2"/>
        <v>35.2941176470588</v>
      </c>
      <c r="S1248" s="11"/>
    </row>
    <row r="1249" ht="13.5" customHeight="1" spans="1:19">
      <c r="A1249" s="4" t="s">
        <v>36</v>
      </c>
      <c r="B1249" s="3">
        <v>1294</v>
      </c>
      <c r="C1249" s="3">
        <v>8842</v>
      </c>
      <c r="D1249" s="3">
        <v>0.1</v>
      </c>
      <c r="E1249" s="4" t="s">
        <v>33</v>
      </c>
      <c r="F1249" s="4" t="s">
        <v>178</v>
      </c>
      <c r="G1249" s="3" t="s">
        <v>179</v>
      </c>
      <c r="H1249" s="4" t="s">
        <v>134</v>
      </c>
      <c r="I1249" s="4" t="s">
        <v>156</v>
      </c>
      <c r="J1249" s="3">
        <v>4</v>
      </c>
      <c r="K1249" s="3">
        <v>20</v>
      </c>
      <c r="L1249" s="3">
        <v>13</v>
      </c>
      <c r="M1249" s="3">
        <v>1</v>
      </c>
      <c r="N1249" s="3">
        <v>1</v>
      </c>
      <c r="O1249" s="3">
        <v>5</v>
      </c>
      <c r="P1249" s="3">
        <f t="shared" si="0"/>
        <v>0</v>
      </c>
      <c r="Q1249" s="3">
        <f t="shared" si="1"/>
        <v>68.4210526315789</v>
      </c>
      <c r="R1249" s="3">
        <f t="shared" si="2"/>
        <v>26.3157894736842</v>
      </c>
      <c r="S1249" s="11"/>
    </row>
    <row r="1250" ht="13.5" customHeight="1" spans="1:21">
      <c r="A1250" s="4" t="s">
        <v>120</v>
      </c>
      <c r="B1250" s="3">
        <v>1147</v>
      </c>
      <c r="C1250" s="3">
        <v>7497</v>
      </c>
      <c r="D1250" s="3">
        <v>0.1</v>
      </c>
      <c r="E1250" s="4" t="s">
        <v>22</v>
      </c>
      <c r="F1250" s="4" t="s">
        <v>176</v>
      </c>
      <c r="G1250" s="3" t="s">
        <v>177</v>
      </c>
      <c r="H1250" s="4" t="s">
        <v>25</v>
      </c>
      <c r="I1250" s="4" t="s">
        <v>156</v>
      </c>
      <c r="J1250" s="3">
        <v>1</v>
      </c>
      <c r="K1250" s="3">
        <v>25</v>
      </c>
      <c r="L1250" s="3">
        <v>24</v>
      </c>
      <c r="M1250" s="3">
        <v>0</v>
      </c>
      <c r="N1250" s="3">
        <v>0</v>
      </c>
      <c r="O1250" s="3">
        <v>1</v>
      </c>
      <c r="P1250" s="3">
        <f t="shared" si="0"/>
        <v>0</v>
      </c>
      <c r="Q1250" s="3">
        <f t="shared" si="1"/>
        <v>96</v>
      </c>
      <c r="R1250" s="3">
        <f t="shared" si="2"/>
        <v>4</v>
      </c>
      <c r="S1250" s="11">
        <f>AVERAGE(Q1250:Q1253)</f>
        <v>94.8333333333333</v>
      </c>
      <c r="T1250" s="7">
        <f>AVERAGE(R1250:R1253)</f>
        <v>5.16666666666667</v>
      </c>
      <c r="U1250" s="8">
        <f>(L1250+L1251+L1252+L1253+O1250+O1251+O1252+O1253)/(K1250+K1251+K1252+K1253)*100</f>
        <v>98</v>
      </c>
    </row>
    <row r="1251" ht="13.5" customHeight="1" spans="1:19">
      <c r="A1251" s="4" t="s">
        <v>120</v>
      </c>
      <c r="B1251" s="3">
        <v>1147</v>
      </c>
      <c r="C1251" s="3">
        <v>7497</v>
      </c>
      <c r="D1251" s="3">
        <v>0.1</v>
      </c>
      <c r="E1251" s="4" t="s">
        <v>22</v>
      </c>
      <c r="F1251" s="4" t="s">
        <v>176</v>
      </c>
      <c r="G1251" s="3" t="s">
        <v>177</v>
      </c>
      <c r="H1251" s="4" t="s">
        <v>25</v>
      </c>
      <c r="I1251" s="4" t="s">
        <v>156</v>
      </c>
      <c r="J1251" s="3">
        <v>2</v>
      </c>
      <c r="K1251" s="3">
        <v>25</v>
      </c>
      <c r="L1251" s="3">
        <v>25</v>
      </c>
      <c r="M1251" s="3">
        <v>0</v>
      </c>
      <c r="N1251" s="3">
        <v>0</v>
      </c>
      <c r="O1251" s="3">
        <v>0</v>
      </c>
      <c r="P1251" s="3">
        <f t="shared" si="0"/>
        <v>0</v>
      </c>
      <c r="Q1251" s="3">
        <f t="shared" si="1"/>
        <v>100</v>
      </c>
      <c r="R1251" s="3">
        <f t="shared" si="2"/>
        <v>0</v>
      </c>
      <c r="S1251" s="11"/>
    </row>
    <row r="1252" ht="13.5" customHeight="1" spans="1:19">
      <c r="A1252" s="4" t="s">
        <v>120</v>
      </c>
      <c r="B1252" s="3">
        <v>1147</v>
      </c>
      <c r="C1252" s="3">
        <v>7497</v>
      </c>
      <c r="D1252" s="3">
        <v>0.1</v>
      </c>
      <c r="E1252" s="4" t="s">
        <v>22</v>
      </c>
      <c r="F1252" s="4" t="s">
        <v>176</v>
      </c>
      <c r="G1252" s="3" t="s">
        <v>177</v>
      </c>
      <c r="H1252" s="4" t="s">
        <v>25</v>
      </c>
      <c r="I1252" s="4" t="s">
        <v>156</v>
      </c>
      <c r="J1252" s="3">
        <v>3</v>
      </c>
      <c r="K1252" s="3">
        <v>25</v>
      </c>
      <c r="L1252" s="3">
        <v>22</v>
      </c>
      <c r="M1252" s="3">
        <v>0</v>
      </c>
      <c r="N1252" s="3">
        <v>1</v>
      </c>
      <c r="O1252" s="3">
        <v>2</v>
      </c>
      <c r="P1252" s="3">
        <f t="shared" si="0"/>
        <v>0</v>
      </c>
      <c r="Q1252" s="3">
        <f t="shared" si="1"/>
        <v>91.6666666666667</v>
      </c>
      <c r="R1252" s="3">
        <f t="shared" si="2"/>
        <v>8.33333333333333</v>
      </c>
      <c r="S1252" s="11"/>
    </row>
    <row r="1253" ht="13.5" customHeight="1" spans="1:19">
      <c r="A1253" s="4" t="s">
        <v>120</v>
      </c>
      <c r="B1253" s="3">
        <v>1147</v>
      </c>
      <c r="C1253" s="3">
        <v>7497</v>
      </c>
      <c r="D1253" s="3">
        <v>0.1</v>
      </c>
      <c r="E1253" s="4" t="s">
        <v>22</v>
      </c>
      <c r="F1253" s="4" t="s">
        <v>176</v>
      </c>
      <c r="G1253" s="3" t="s">
        <v>177</v>
      </c>
      <c r="H1253" s="4" t="s">
        <v>25</v>
      </c>
      <c r="I1253" s="4" t="s">
        <v>156</v>
      </c>
      <c r="J1253" s="3">
        <v>4</v>
      </c>
      <c r="K1253" s="3">
        <v>25</v>
      </c>
      <c r="L1253" s="3">
        <v>22</v>
      </c>
      <c r="M1253" s="3">
        <v>0</v>
      </c>
      <c r="N1253" s="3">
        <v>1</v>
      </c>
      <c r="O1253" s="3">
        <v>2</v>
      </c>
      <c r="P1253" s="3">
        <f t="shared" si="0"/>
        <v>0</v>
      </c>
      <c r="Q1253" s="3">
        <f t="shared" si="1"/>
        <v>91.6666666666667</v>
      </c>
      <c r="R1253" s="3">
        <f t="shared" si="2"/>
        <v>8.33333333333333</v>
      </c>
      <c r="S1253" s="11"/>
    </row>
    <row r="1254" ht="13.5" customHeight="1" spans="1:21">
      <c r="A1254" s="4" t="s">
        <v>121</v>
      </c>
      <c r="B1254" s="3">
        <v>1017</v>
      </c>
      <c r="C1254" s="3">
        <v>5556</v>
      </c>
      <c r="D1254" s="3">
        <v>0.1</v>
      </c>
      <c r="E1254" s="4" t="s">
        <v>182</v>
      </c>
      <c r="F1254" s="4" t="s">
        <v>183</v>
      </c>
      <c r="G1254" s="3" t="s">
        <v>184</v>
      </c>
      <c r="H1254" s="4" t="s">
        <v>40</v>
      </c>
      <c r="I1254" s="4" t="s">
        <v>156</v>
      </c>
      <c r="J1254" s="3">
        <v>1</v>
      </c>
      <c r="K1254" s="3">
        <v>25</v>
      </c>
      <c r="L1254" s="3">
        <v>20</v>
      </c>
      <c r="M1254" s="3">
        <v>0</v>
      </c>
      <c r="N1254" s="3">
        <v>5</v>
      </c>
      <c r="O1254" s="3">
        <v>0</v>
      </c>
      <c r="P1254" s="3">
        <f t="shared" si="0"/>
        <v>0</v>
      </c>
      <c r="Q1254" s="3">
        <f t="shared" si="1"/>
        <v>100</v>
      </c>
      <c r="R1254" s="3">
        <f t="shared" si="2"/>
        <v>0</v>
      </c>
      <c r="S1254" s="11">
        <f>AVERAGE(Q1254:Q1257)</f>
        <v>95.8260869565217</v>
      </c>
      <c r="T1254" s="7">
        <f>AVERAGE(R1254:R1257)</f>
        <v>0</v>
      </c>
      <c r="U1254" s="8">
        <f>(L1254+L1255+L1256+L1257+O1254+O1255+O1256+O1257)/(K1254+K1255+K1256+K1257)*100</f>
        <v>87</v>
      </c>
    </row>
    <row r="1255" ht="13.5" customHeight="1" spans="1:19">
      <c r="A1255" s="4" t="s">
        <v>121</v>
      </c>
      <c r="B1255" s="3">
        <v>1017</v>
      </c>
      <c r="C1255" s="3">
        <v>5556</v>
      </c>
      <c r="D1255" s="3">
        <v>0.1</v>
      </c>
      <c r="E1255" s="4" t="s">
        <v>182</v>
      </c>
      <c r="F1255" s="4" t="s">
        <v>183</v>
      </c>
      <c r="G1255" s="3" t="s">
        <v>184</v>
      </c>
      <c r="H1255" s="4" t="s">
        <v>40</v>
      </c>
      <c r="I1255" s="4" t="s">
        <v>156</v>
      </c>
      <c r="J1255" s="3">
        <v>2</v>
      </c>
      <c r="K1255" s="3">
        <v>25</v>
      </c>
      <c r="L1255" s="3">
        <v>22</v>
      </c>
      <c r="M1255" s="3">
        <v>1</v>
      </c>
      <c r="N1255" s="3">
        <v>2</v>
      </c>
      <c r="O1255" s="3">
        <v>0</v>
      </c>
      <c r="P1255" s="3">
        <f t="shared" si="0"/>
        <v>0</v>
      </c>
      <c r="Q1255" s="3">
        <f t="shared" si="1"/>
        <v>95.6521739130435</v>
      </c>
      <c r="R1255" s="3">
        <f t="shared" si="2"/>
        <v>0</v>
      </c>
      <c r="S1255" s="11"/>
    </row>
    <row r="1256" ht="13.5" customHeight="1" spans="1:19">
      <c r="A1256" s="4" t="s">
        <v>121</v>
      </c>
      <c r="B1256" s="3">
        <v>1017</v>
      </c>
      <c r="C1256" s="3">
        <v>5556</v>
      </c>
      <c r="D1256" s="3">
        <v>0.1</v>
      </c>
      <c r="E1256" s="4" t="s">
        <v>182</v>
      </c>
      <c r="F1256" s="4" t="s">
        <v>183</v>
      </c>
      <c r="G1256" s="3" t="s">
        <v>184</v>
      </c>
      <c r="H1256" s="4" t="s">
        <v>40</v>
      </c>
      <c r="I1256" s="4" t="s">
        <v>156</v>
      </c>
      <c r="J1256" s="3">
        <v>3</v>
      </c>
      <c r="K1256" s="3">
        <v>25</v>
      </c>
      <c r="L1256" s="3">
        <v>23</v>
      </c>
      <c r="M1256" s="3">
        <v>2</v>
      </c>
      <c r="N1256" s="3">
        <v>0</v>
      </c>
      <c r="O1256" s="3">
        <v>0</v>
      </c>
      <c r="P1256" s="3">
        <f t="shared" si="0"/>
        <v>0</v>
      </c>
      <c r="Q1256" s="3">
        <f t="shared" si="1"/>
        <v>92</v>
      </c>
      <c r="R1256" s="3">
        <f t="shared" si="2"/>
        <v>0</v>
      </c>
      <c r="S1256" s="11"/>
    </row>
    <row r="1257" ht="13.5" customHeight="1" spans="1:19">
      <c r="A1257" s="4" t="s">
        <v>121</v>
      </c>
      <c r="B1257" s="3">
        <v>1017</v>
      </c>
      <c r="C1257" s="3">
        <v>5556</v>
      </c>
      <c r="D1257" s="3">
        <v>0.1</v>
      </c>
      <c r="E1257" s="4" t="s">
        <v>182</v>
      </c>
      <c r="F1257" s="4" t="s">
        <v>183</v>
      </c>
      <c r="G1257" s="3" t="s">
        <v>184</v>
      </c>
      <c r="H1257" s="4" t="s">
        <v>40</v>
      </c>
      <c r="I1257" s="4" t="s">
        <v>156</v>
      </c>
      <c r="J1257" s="3">
        <v>4</v>
      </c>
      <c r="K1257" s="3">
        <v>25</v>
      </c>
      <c r="L1257" s="3">
        <v>22</v>
      </c>
      <c r="M1257" s="3">
        <v>1</v>
      </c>
      <c r="N1257" s="3">
        <v>2</v>
      </c>
      <c r="O1257" s="3">
        <v>0</v>
      </c>
      <c r="P1257" s="3">
        <f t="shared" si="0"/>
        <v>0</v>
      </c>
      <c r="Q1257" s="3">
        <f t="shared" si="1"/>
        <v>95.6521739130435</v>
      </c>
      <c r="R1257" s="3">
        <f t="shared" si="2"/>
        <v>0</v>
      </c>
      <c r="S1257" s="11"/>
    </row>
    <row r="1258" ht="13.5" customHeight="1" spans="1:21">
      <c r="A1258" s="4" t="s">
        <v>117</v>
      </c>
      <c r="B1258" s="3">
        <v>1001</v>
      </c>
      <c r="C1258" s="3">
        <v>4887</v>
      </c>
      <c r="D1258" s="3">
        <v>3</v>
      </c>
      <c r="E1258" s="4" t="s">
        <v>185</v>
      </c>
      <c r="F1258" s="4" t="s">
        <v>186</v>
      </c>
      <c r="G1258" s="3" t="s">
        <v>187</v>
      </c>
      <c r="H1258" s="4" t="s">
        <v>147</v>
      </c>
      <c r="I1258" s="4" t="s">
        <v>156</v>
      </c>
      <c r="J1258" s="3">
        <v>1</v>
      </c>
      <c r="K1258" s="3">
        <v>25</v>
      </c>
      <c r="L1258" s="3">
        <v>22</v>
      </c>
      <c r="M1258" s="3">
        <v>2</v>
      </c>
      <c r="N1258" s="3">
        <v>1</v>
      </c>
      <c r="O1258" s="3">
        <v>0</v>
      </c>
      <c r="P1258" s="3">
        <f t="shared" si="0"/>
        <v>0</v>
      </c>
      <c r="Q1258" s="3">
        <f t="shared" si="1"/>
        <v>91.6666666666667</v>
      </c>
      <c r="R1258" s="3">
        <f t="shared" si="2"/>
        <v>0</v>
      </c>
      <c r="S1258" s="11">
        <f>AVERAGE(Q1258:Q1261)</f>
        <v>92.5271739130435</v>
      </c>
      <c r="T1258" s="7">
        <f>AVERAGE(R1258:R1261)</f>
        <v>0</v>
      </c>
      <c r="U1258" s="8">
        <f>(L1258+L1259+L1260+L1261+O1258+O1259+O1260+O1261)/(K1258+K1259+K1260+K1261)*100</f>
        <v>87</v>
      </c>
    </row>
    <row r="1259" ht="13.5" customHeight="1" spans="1:19">
      <c r="A1259" s="4" t="s">
        <v>117</v>
      </c>
      <c r="B1259" s="3">
        <v>1001</v>
      </c>
      <c r="C1259" s="3">
        <v>4887</v>
      </c>
      <c r="D1259" s="3">
        <v>3</v>
      </c>
      <c r="E1259" s="4" t="s">
        <v>185</v>
      </c>
      <c r="F1259" s="4" t="s">
        <v>186</v>
      </c>
      <c r="G1259" s="3" t="s">
        <v>187</v>
      </c>
      <c r="H1259" s="4" t="s">
        <v>147</v>
      </c>
      <c r="I1259" s="4" t="s">
        <v>156</v>
      </c>
      <c r="J1259" s="3">
        <v>2</v>
      </c>
      <c r="K1259" s="3">
        <v>25</v>
      </c>
      <c r="L1259" s="3">
        <v>21</v>
      </c>
      <c r="M1259" s="3">
        <v>2</v>
      </c>
      <c r="N1259" s="3">
        <v>2</v>
      </c>
      <c r="O1259" s="3">
        <v>0</v>
      </c>
      <c r="P1259" s="3">
        <f t="shared" si="0"/>
        <v>0</v>
      </c>
      <c r="Q1259" s="3">
        <f t="shared" si="1"/>
        <v>91.304347826087</v>
      </c>
      <c r="R1259" s="3">
        <f t="shared" si="2"/>
        <v>0</v>
      </c>
      <c r="S1259" s="11"/>
    </row>
    <row r="1260" ht="13.5" customHeight="1" spans="1:19">
      <c r="A1260" s="4" t="s">
        <v>117</v>
      </c>
      <c r="B1260" s="3">
        <v>1001</v>
      </c>
      <c r="C1260" s="3">
        <v>4887</v>
      </c>
      <c r="D1260" s="3">
        <v>3</v>
      </c>
      <c r="E1260" s="4" t="s">
        <v>185</v>
      </c>
      <c r="F1260" s="4" t="s">
        <v>186</v>
      </c>
      <c r="G1260" s="3" t="s">
        <v>187</v>
      </c>
      <c r="H1260" s="4" t="s">
        <v>147</v>
      </c>
      <c r="I1260" s="4" t="s">
        <v>156</v>
      </c>
      <c r="J1260" s="3">
        <v>3</v>
      </c>
      <c r="K1260" s="3">
        <v>25</v>
      </c>
      <c r="L1260" s="3">
        <v>23</v>
      </c>
      <c r="M1260" s="3">
        <v>1</v>
      </c>
      <c r="N1260" s="3">
        <v>1</v>
      </c>
      <c r="O1260" s="3">
        <v>0</v>
      </c>
      <c r="P1260" s="3">
        <f t="shared" si="0"/>
        <v>0</v>
      </c>
      <c r="Q1260" s="3">
        <f t="shared" si="1"/>
        <v>95.8333333333333</v>
      </c>
      <c r="R1260" s="3">
        <f t="shared" si="2"/>
        <v>0</v>
      </c>
      <c r="S1260" s="11"/>
    </row>
    <row r="1261" ht="13.5" customHeight="1" spans="1:19">
      <c r="A1261" s="4" t="s">
        <v>117</v>
      </c>
      <c r="B1261" s="3">
        <v>1001</v>
      </c>
      <c r="C1261" s="3">
        <v>4887</v>
      </c>
      <c r="D1261" s="3">
        <v>3</v>
      </c>
      <c r="E1261" s="4" t="s">
        <v>185</v>
      </c>
      <c r="F1261" s="4" t="s">
        <v>186</v>
      </c>
      <c r="G1261" s="3" t="s">
        <v>187</v>
      </c>
      <c r="H1261" s="4" t="s">
        <v>147</v>
      </c>
      <c r="I1261" s="4" t="s">
        <v>156</v>
      </c>
      <c r="J1261" s="3">
        <v>4</v>
      </c>
      <c r="K1261" s="3">
        <v>25</v>
      </c>
      <c r="L1261" s="3">
        <v>21</v>
      </c>
      <c r="M1261" s="3">
        <v>2</v>
      </c>
      <c r="N1261" s="3">
        <v>2</v>
      </c>
      <c r="O1261" s="3">
        <v>0</v>
      </c>
      <c r="P1261" s="3">
        <f t="shared" si="0"/>
        <v>0</v>
      </c>
      <c r="Q1261" s="3">
        <f t="shared" si="1"/>
        <v>91.304347826087</v>
      </c>
      <c r="R1261" s="3">
        <f t="shared" si="2"/>
        <v>0</v>
      </c>
      <c r="S1261" s="11"/>
    </row>
    <row r="1262" ht="13.5" customHeight="1" spans="1:21">
      <c r="A1262" s="4" t="s">
        <v>66</v>
      </c>
      <c r="B1262" s="3">
        <v>1153</v>
      </c>
      <c r="C1262" s="3">
        <v>7684</v>
      </c>
      <c r="D1262" s="3">
        <v>0.1</v>
      </c>
      <c r="E1262" s="4" t="s">
        <v>22</v>
      </c>
      <c r="F1262" s="4" t="s">
        <v>188</v>
      </c>
      <c r="G1262" s="3" t="s">
        <v>160</v>
      </c>
      <c r="H1262" s="4" t="s">
        <v>40</v>
      </c>
      <c r="I1262" s="4" t="s">
        <v>156</v>
      </c>
      <c r="J1262" s="3">
        <v>1</v>
      </c>
      <c r="K1262" s="3">
        <v>25</v>
      </c>
      <c r="L1262" s="3">
        <v>16</v>
      </c>
      <c r="M1262" s="3">
        <v>0</v>
      </c>
      <c r="N1262" s="3">
        <v>9</v>
      </c>
      <c r="O1262" s="3">
        <v>0</v>
      </c>
      <c r="P1262" s="3">
        <f t="shared" si="0"/>
        <v>0</v>
      </c>
      <c r="Q1262" s="3">
        <f t="shared" si="1"/>
        <v>100</v>
      </c>
      <c r="R1262" s="3">
        <f t="shared" si="2"/>
        <v>0</v>
      </c>
      <c r="S1262" s="11">
        <f>AVERAGE(Q1262:Q1265)</f>
        <v>93.5049019607843</v>
      </c>
      <c r="T1262" s="7">
        <f>AVERAGE(R1262:R1265)</f>
        <v>0</v>
      </c>
      <c r="U1262" s="8">
        <f>(L1262+L1263+L1264+L1265+O1262+O1263+O1264+O1265)/(K1262+K1263+K1264+K1265)*100</f>
        <v>51</v>
      </c>
    </row>
    <row r="1263" ht="13.5" customHeight="1" spans="1:19">
      <c r="A1263" s="4" t="s">
        <v>66</v>
      </c>
      <c r="B1263" s="3">
        <v>1153</v>
      </c>
      <c r="C1263" s="3">
        <v>7684</v>
      </c>
      <c r="D1263" s="3">
        <v>0.1</v>
      </c>
      <c r="E1263" s="4" t="s">
        <v>22</v>
      </c>
      <c r="F1263" s="4" t="s">
        <v>188</v>
      </c>
      <c r="G1263" s="3" t="s">
        <v>160</v>
      </c>
      <c r="H1263" s="4" t="s">
        <v>40</v>
      </c>
      <c r="I1263" s="4" t="s">
        <v>156</v>
      </c>
      <c r="J1263" s="3">
        <v>2</v>
      </c>
      <c r="K1263" s="3">
        <v>25</v>
      </c>
      <c r="L1263" s="3">
        <v>14</v>
      </c>
      <c r="M1263" s="3">
        <v>3</v>
      </c>
      <c r="N1263" s="3">
        <v>8</v>
      </c>
      <c r="O1263" s="3">
        <v>0</v>
      </c>
      <c r="P1263" s="3">
        <f t="shared" si="0"/>
        <v>0</v>
      </c>
      <c r="Q1263" s="3">
        <f t="shared" si="1"/>
        <v>82.3529411764706</v>
      </c>
      <c r="R1263" s="3">
        <f t="shared" si="2"/>
        <v>0</v>
      </c>
      <c r="S1263" s="11"/>
    </row>
    <row r="1264" ht="13.5" customHeight="1" spans="1:19">
      <c r="A1264" s="4" t="s">
        <v>66</v>
      </c>
      <c r="B1264" s="3">
        <v>1153</v>
      </c>
      <c r="C1264" s="3">
        <v>7684</v>
      </c>
      <c r="D1264" s="3">
        <v>0.1</v>
      </c>
      <c r="E1264" s="4" t="s">
        <v>22</v>
      </c>
      <c r="F1264" s="4" t="s">
        <v>188</v>
      </c>
      <c r="G1264" s="3" t="s">
        <v>160</v>
      </c>
      <c r="H1264" s="4" t="s">
        <v>40</v>
      </c>
      <c r="I1264" s="4" t="s">
        <v>156</v>
      </c>
      <c r="J1264" s="3">
        <v>3</v>
      </c>
      <c r="K1264" s="3">
        <v>25</v>
      </c>
      <c r="L1264" s="3">
        <v>11</v>
      </c>
      <c r="M1264" s="3">
        <v>1</v>
      </c>
      <c r="N1264" s="3">
        <v>13</v>
      </c>
      <c r="O1264" s="3">
        <v>0</v>
      </c>
      <c r="P1264" s="3">
        <f t="shared" si="0"/>
        <v>0</v>
      </c>
      <c r="Q1264" s="3">
        <f t="shared" si="1"/>
        <v>91.6666666666667</v>
      </c>
      <c r="R1264" s="3">
        <f t="shared" si="2"/>
        <v>0</v>
      </c>
      <c r="S1264" s="11"/>
    </row>
    <row r="1265" ht="13.5" customHeight="1" spans="1:19">
      <c r="A1265" s="4" t="s">
        <v>66</v>
      </c>
      <c r="B1265" s="3">
        <v>1153</v>
      </c>
      <c r="C1265" s="3">
        <v>7684</v>
      </c>
      <c r="D1265" s="3">
        <v>0.1</v>
      </c>
      <c r="E1265" s="4" t="s">
        <v>22</v>
      </c>
      <c r="F1265" s="4" t="s">
        <v>188</v>
      </c>
      <c r="G1265" s="3" t="s">
        <v>160</v>
      </c>
      <c r="H1265" s="4" t="s">
        <v>40</v>
      </c>
      <c r="I1265" s="4" t="s">
        <v>156</v>
      </c>
      <c r="J1265" s="3">
        <v>4</v>
      </c>
      <c r="K1265" s="3">
        <v>25</v>
      </c>
      <c r="L1265" s="3">
        <v>10</v>
      </c>
      <c r="M1265" s="3">
        <v>0</v>
      </c>
      <c r="N1265" s="3">
        <v>15</v>
      </c>
      <c r="O1265" s="3">
        <v>0</v>
      </c>
      <c r="P1265" s="3">
        <f t="shared" si="0"/>
        <v>0</v>
      </c>
      <c r="Q1265" s="3">
        <f t="shared" si="1"/>
        <v>100</v>
      </c>
      <c r="R1265" s="3">
        <f t="shared" si="2"/>
        <v>0</v>
      </c>
      <c r="S1265" s="11"/>
    </row>
    <row r="1266" ht="13.5" customHeight="1" spans="1:21">
      <c r="A1266" s="4" t="s">
        <v>77</v>
      </c>
      <c r="B1266" s="3">
        <v>1746</v>
      </c>
      <c r="C1266" s="3">
        <v>10331</v>
      </c>
      <c r="D1266" s="3">
        <v>1</v>
      </c>
      <c r="E1266" s="4" t="s">
        <v>22</v>
      </c>
      <c r="F1266" s="4" t="s">
        <v>188</v>
      </c>
      <c r="G1266" s="3" t="s">
        <v>189</v>
      </c>
      <c r="H1266" s="4" t="s">
        <v>25</v>
      </c>
      <c r="I1266" s="4" t="s">
        <v>156</v>
      </c>
      <c r="J1266" s="3">
        <v>1</v>
      </c>
      <c r="K1266" s="3">
        <v>26</v>
      </c>
      <c r="L1266" s="3">
        <v>16</v>
      </c>
      <c r="M1266" s="3">
        <v>7</v>
      </c>
      <c r="N1266" s="3">
        <v>3</v>
      </c>
      <c r="O1266" s="3">
        <v>0</v>
      </c>
      <c r="P1266" s="3">
        <f t="shared" si="0"/>
        <v>0</v>
      </c>
      <c r="Q1266" s="3">
        <f t="shared" si="1"/>
        <v>69.5652173913043</v>
      </c>
      <c r="R1266" s="3">
        <f t="shared" si="2"/>
        <v>0</v>
      </c>
      <c r="S1266" s="11">
        <f>AVERAGE(Q1266:Q1269)</f>
        <v>52.7150385846038</v>
      </c>
      <c r="T1266" s="7">
        <f>AVERAGE(R1266:R1269)</f>
        <v>0</v>
      </c>
      <c r="U1266" s="8">
        <f>(L1266+L1267+L1268+L1269+O1266+O1267+O1268+O1269)/(K1266+K1267+K1268+K1269)*100</f>
        <v>46.5346534653465</v>
      </c>
    </row>
    <row r="1267" ht="13.5" customHeight="1" spans="1:19">
      <c r="A1267" s="4" t="s">
        <v>77</v>
      </c>
      <c r="B1267" s="3">
        <v>1746</v>
      </c>
      <c r="C1267" s="3">
        <v>10331</v>
      </c>
      <c r="D1267" s="3">
        <v>1</v>
      </c>
      <c r="E1267" s="4" t="s">
        <v>22</v>
      </c>
      <c r="F1267" s="4" t="s">
        <v>188</v>
      </c>
      <c r="G1267" s="3" t="s">
        <v>189</v>
      </c>
      <c r="H1267" s="4" t="s">
        <v>25</v>
      </c>
      <c r="I1267" s="4" t="s">
        <v>156</v>
      </c>
      <c r="J1267" s="3">
        <v>2</v>
      </c>
      <c r="K1267" s="3">
        <v>25</v>
      </c>
      <c r="L1267" s="3">
        <v>12</v>
      </c>
      <c r="M1267" s="3">
        <v>10</v>
      </c>
      <c r="N1267" s="3">
        <v>3</v>
      </c>
      <c r="O1267" s="3">
        <v>0</v>
      </c>
      <c r="P1267" s="3">
        <f t="shared" si="0"/>
        <v>0</v>
      </c>
      <c r="Q1267" s="3">
        <f t="shared" si="1"/>
        <v>54.5454545454545</v>
      </c>
      <c r="R1267" s="3">
        <f t="shared" si="2"/>
        <v>0</v>
      </c>
      <c r="S1267" s="11"/>
    </row>
    <row r="1268" ht="13.5" customHeight="1" spans="1:19">
      <c r="A1268" s="4" t="s">
        <v>77</v>
      </c>
      <c r="B1268" s="3">
        <v>1746</v>
      </c>
      <c r="C1268" s="3">
        <v>10331</v>
      </c>
      <c r="D1268" s="3">
        <v>1</v>
      </c>
      <c r="E1268" s="4" t="s">
        <v>22</v>
      </c>
      <c r="F1268" s="4" t="s">
        <v>188</v>
      </c>
      <c r="G1268" s="3" t="s">
        <v>189</v>
      </c>
      <c r="H1268" s="4" t="s">
        <v>25</v>
      </c>
      <c r="I1268" s="4" t="s">
        <v>156</v>
      </c>
      <c r="J1268" s="3">
        <v>3</v>
      </c>
      <c r="K1268" s="3">
        <v>25</v>
      </c>
      <c r="L1268" s="3">
        <v>10</v>
      </c>
      <c r="M1268" s="3">
        <v>11</v>
      </c>
      <c r="N1268" s="3">
        <v>4</v>
      </c>
      <c r="O1268" s="3">
        <v>0</v>
      </c>
      <c r="P1268" s="3">
        <f t="shared" si="0"/>
        <v>0</v>
      </c>
      <c r="Q1268" s="3">
        <f t="shared" si="1"/>
        <v>47.6190476190476</v>
      </c>
      <c r="R1268" s="3">
        <f t="shared" si="2"/>
        <v>0</v>
      </c>
      <c r="S1268" s="11"/>
    </row>
    <row r="1269" ht="13.5" customHeight="1" spans="1:19">
      <c r="A1269" s="4" t="s">
        <v>77</v>
      </c>
      <c r="B1269" s="3">
        <v>1746</v>
      </c>
      <c r="C1269" s="3">
        <v>10331</v>
      </c>
      <c r="D1269" s="3">
        <v>1</v>
      </c>
      <c r="E1269" s="4" t="s">
        <v>22</v>
      </c>
      <c r="F1269" s="4" t="s">
        <v>188</v>
      </c>
      <c r="G1269" s="3" t="s">
        <v>189</v>
      </c>
      <c r="H1269" s="4" t="s">
        <v>25</v>
      </c>
      <c r="I1269" s="4" t="s">
        <v>156</v>
      </c>
      <c r="J1269" s="3">
        <v>4</v>
      </c>
      <c r="K1269" s="3">
        <v>25</v>
      </c>
      <c r="L1269" s="3">
        <v>9</v>
      </c>
      <c r="M1269" s="3">
        <v>14</v>
      </c>
      <c r="N1269" s="3">
        <v>2</v>
      </c>
      <c r="O1269" s="3">
        <v>0</v>
      </c>
      <c r="P1269" s="3">
        <f t="shared" si="0"/>
        <v>0</v>
      </c>
      <c r="Q1269" s="3">
        <f t="shared" si="1"/>
        <v>39.1304347826087</v>
      </c>
      <c r="R1269" s="3">
        <f t="shared" si="2"/>
        <v>0</v>
      </c>
      <c r="S1269" s="11"/>
    </row>
    <row r="1270" ht="13.5" customHeight="1" spans="1:21">
      <c r="A1270" s="4" t="s">
        <v>91</v>
      </c>
      <c r="B1270" s="3">
        <v>1007</v>
      </c>
      <c r="C1270" s="3">
        <v>4939</v>
      </c>
      <c r="D1270" s="3">
        <v>4</v>
      </c>
      <c r="E1270" s="4" t="s">
        <v>52</v>
      </c>
      <c r="F1270" s="4" t="s">
        <v>183</v>
      </c>
      <c r="G1270" s="3" t="s">
        <v>190</v>
      </c>
      <c r="H1270" s="4" t="s">
        <v>40</v>
      </c>
      <c r="I1270" s="4" t="s">
        <v>156</v>
      </c>
      <c r="J1270" s="3">
        <v>1</v>
      </c>
      <c r="K1270" s="3">
        <v>25</v>
      </c>
      <c r="L1270" s="3">
        <v>24</v>
      </c>
      <c r="M1270" s="3">
        <v>1</v>
      </c>
      <c r="N1270" s="3">
        <v>0</v>
      </c>
      <c r="O1270" s="3">
        <v>0</v>
      </c>
      <c r="P1270" s="3">
        <f t="shared" si="0"/>
        <v>0</v>
      </c>
      <c r="Q1270" s="3">
        <f t="shared" si="1"/>
        <v>96</v>
      </c>
      <c r="R1270" s="3">
        <f t="shared" si="2"/>
        <v>0</v>
      </c>
      <c r="S1270" s="11">
        <f>AVERAGE(Q1270:Q1273)</f>
        <v>95.9583333333333</v>
      </c>
      <c r="T1270" s="7">
        <f>AVERAGE(R1270:R1273)</f>
        <v>0</v>
      </c>
      <c r="U1270" s="8">
        <f>(L1270+L1271+L1272+L1273+O1270+O1271+O1272+O1273)/(K1270+K1271+K1272+K1273)*100</f>
        <v>95</v>
      </c>
    </row>
    <row r="1271" ht="13.5" customHeight="1" spans="1:19">
      <c r="A1271" s="4" t="s">
        <v>91</v>
      </c>
      <c r="B1271" s="3">
        <v>1007</v>
      </c>
      <c r="C1271" s="3">
        <v>4939</v>
      </c>
      <c r="D1271" s="3">
        <v>4</v>
      </c>
      <c r="E1271" s="4" t="s">
        <v>52</v>
      </c>
      <c r="F1271" s="4" t="s">
        <v>183</v>
      </c>
      <c r="G1271" s="3" t="s">
        <v>190</v>
      </c>
      <c r="H1271" s="4" t="s">
        <v>40</v>
      </c>
      <c r="I1271" s="4" t="s">
        <v>156</v>
      </c>
      <c r="J1271" s="3">
        <v>2</v>
      </c>
      <c r="K1271" s="3">
        <v>25</v>
      </c>
      <c r="L1271" s="3">
        <v>23</v>
      </c>
      <c r="M1271" s="3">
        <v>1</v>
      </c>
      <c r="N1271" s="3">
        <v>1</v>
      </c>
      <c r="O1271" s="3">
        <v>0</v>
      </c>
      <c r="P1271" s="3">
        <f t="shared" si="0"/>
        <v>0</v>
      </c>
      <c r="Q1271" s="3">
        <f t="shared" si="1"/>
        <v>95.8333333333333</v>
      </c>
      <c r="R1271" s="3">
        <f t="shared" si="2"/>
        <v>0</v>
      </c>
      <c r="S1271" s="11"/>
    </row>
    <row r="1272" ht="13.5" customHeight="1" spans="1:19">
      <c r="A1272" s="4" t="s">
        <v>91</v>
      </c>
      <c r="B1272" s="3">
        <v>1007</v>
      </c>
      <c r="C1272" s="3">
        <v>4939</v>
      </c>
      <c r="D1272" s="3">
        <v>4</v>
      </c>
      <c r="E1272" s="4" t="s">
        <v>52</v>
      </c>
      <c r="F1272" s="4" t="s">
        <v>183</v>
      </c>
      <c r="G1272" s="3" t="s">
        <v>190</v>
      </c>
      <c r="H1272" s="4" t="s">
        <v>40</v>
      </c>
      <c r="I1272" s="4" t="s">
        <v>156</v>
      </c>
      <c r="J1272" s="3">
        <v>3</v>
      </c>
      <c r="K1272" s="3">
        <v>25</v>
      </c>
      <c r="L1272" s="3">
        <v>24</v>
      </c>
      <c r="M1272" s="3">
        <v>1</v>
      </c>
      <c r="N1272" s="3">
        <v>0</v>
      </c>
      <c r="O1272" s="3">
        <v>0</v>
      </c>
      <c r="P1272" s="3">
        <f t="shared" si="0"/>
        <v>0</v>
      </c>
      <c r="Q1272" s="3">
        <f t="shared" si="1"/>
        <v>96</v>
      </c>
      <c r="R1272" s="3">
        <f t="shared" si="2"/>
        <v>0</v>
      </c>
      <c r="S1272" s="11"/>
    </row>
    <row r="1273" ht="13.5" customHeight="1" spans="1:19">
      <c r="A1273" s="4" t="s">
        <v>91</v>
      </c>
      <c r="B1273" s="3">
        <v>1007</v>
      </c>
      <c r="C1273" s="3">
        <v>4939</v>
      </c>
      <c r="D1273" s="3">
        <v>4</v>
      </c>
      <c r="E1273" s="4" t="s">
        <v>52</v>
      </c>
      <c r="F1273" s="4" t="s">
        <v>183</v>
      </c>
      <c r="G1273" s="3" t="s">
        <v>190</v>
      </c>
      <c r="H1273" s="4" t="s">
        <v>40</v>
      </c>
      <c r="I1273" s="4" t="s">
        <v>156</v>
      </c>
      <c r="J1273" s="3">
        <v>4</v>
      </c>
      <c r="K1273" s="3">
        <v>25</v>
      </c>
      <c r="L1273" s="3">
        <v>24</v>
      </c>
      <c r="M1273" s="3">
        <v>1</v>
      </c>
      <c r="N1273" s="3">
        <v>0</v>
      </c>
      <c r="O1273" s="3">
        <v>0</v>
      </c>
      <c r="P1273" s="3">
        <f t="shared" si="0"/>
        <v>0</v>
      </c>
      <c r="Q1273" s="3">
        <f t="shared" si="1"/>
        <v>96</v>
      </c>
      <c r="R1273" s="3">
        <f t="shared" si="2"/>
        <v>0</v>
      </c>
      <c r="S1273" s="11"/>
    </row>
    <row r="1274" ht="13.5" customHeight="1" spans="1:21">
      <c r="A1274" s="4" t="s">
        <v>77</v>
      </c>
      <c r="B1274" s="3">
        <v>1746</v>
      </c>
      <c r="C1274" s="3">
        <v>10331</v>
      </c>
      <c r="D1274" s="3">
        <v>0.1</v>
      </c>
      <c r="E1274" s="4" t="s">
        <v>22</v>
      </c>
      <c r="F1274" s="4" t="s">
        <v>157</v>
      </c>
      <c r="G1274" s="4" t="s">
        <v>158</v>
      </c>
      <c r="H1274" s="4" t="s">
        <v>40</v>
      </c>
      <c r="I1274" s="4" t="s">
        <v>26</v>
      </c>
      <c r="J1274" s="3">
        <v>1</v>
      </c>
      <c r="K1274" s="3">
        <v>26</v>
      </c>
      <c r="L1274" s="3">
        <v>26</v>
      </c>
      <c r="M1274" s="3">
        <v>0</v>
      </c>
      <c r="N1274" s="3">
        <v>0</v>
      </c>
      <c r="O1274" s="3">
        <v>0</v>
      </c>
      <c r="P1274" s="3">
        <f t="shared" si="0"/>
        <v>0</v>
      </c>
      <c r="Q1274" s="3">
        <f t="shared" si="1"/>
        <v>100</v>
      </c>
      <c r="R1274" s="3">
        <f t="shared" si="2"/>
        <v>0</v>
      </c>
      <c r="S1274" s="11">
        <f>AVERAGE(Q1274:Q1277)</f>
        <v>100</v>
      </c>
      <c r="T1274" s="7">
        <f>AVERAGE(R1274:R1277)</f>
        <v>0</v>
      </c>
      <c r="U1274" s="8">
        <f>(L1274+L1275+L1276+L1277+O1274+O1275+O1276+O1277)/(K1274+K1275+K1276+K1277)*100</f>
        <v>96.039603960396</v>
      </c>
    </row>
    <row r="1275" ht="13.5" customHeight="1" spans="1:19">
      <c r="A1275" s="4" t="s">
        <v>77</v>
      </c>
      <c r="B1275" s="3">
        <v>1746</v>
      </c>
      <c r="C1275" s="3">
        <v>10331</v>
      </c>
      <c r="D1275" s="3">
        <v>0.1</v>
      </c>
      <c r="E1275" s="4" t="s">
        <v>22</v>
      </c>
      <c r="F1275" s="4" t="s">
        <v>157</v>
      </c>
      <c r="G1275" s="4" t="s">
        <v>158</v>
      </c>
      <c r="H1275" s="4" t="s">
        <v>40</v>
      </c>
      <c r="I1275" s="4" t="s">
        <v>26</v>
      </c>
      <c r="J1275" s="3">
        <v>2</v>
      </c>
      <c r="K1275" s="3">
        <v>25</v>
      </c>
      <c r="L1275" s="3">
        <v>25</v>
      </c>
      <c r="M1275" s="3">
        <v>0</v>
      </c>
      <c r="N1275" s="3">
        <v>0</v>
      </c>
      <c r="O1275" s="3">
        <v>0</v>
      </c>
      <c r="P1275" s="3">
        <f t="shared" si="0"/>
        <v>0</v>
      </c>
      <c r="Q1275" s="3">
        <f t="shared" si="1"/>
        <v>100</v>
      </c>
      <c r="R1275" s="3">
        <f t="shared" si="2"/>
        <v>0</v>
      </c>
      <c r="S1275" s="11"/>
    </row>
    <row r="1276" ht="13.5" customHeight="1" spans="1:19">
      <c r="A1276" s="4" t="s">
        <v>77</v>
      </c>
      <c r="B1276" s="3">
        <v>1746</v>
      </c>
      <c r="C1276" s="3">
        <v>10331</v>
      </c>
      <c r="D1276" s="3">
        <v>0.1</v>
      </c>
      <c r="E1276" s="4" t="s">
        <v>22</v>
      </c>
      <c r="F1276" s="4" t="s">
        <v>157</v>
      </c>
      <c r="G1276" s="4" t="s">
        <v>158</v>
      </c>
      <c r="H1276" s="4" t="s">
        <v>40</v>
      </c>
      <c r="I1276" s="4" t="s">
        <v>26</v>
      </c>
      <c r="J1276" s="3">
        <v>3</v>
      </c>
      <c r="K1276" s="3">
        <v>25</v>
      </c>
      <c r="L1276" s="3">
        <v>22</v>
      </c>
      <c r="M1276" s="3">
        <v>0</v>
      </c>
      <c r="N1276" s="3">
        <v>3</v>
      </c>
      <c r="O1276" s="3">
        <v>0</v>
      </c>
      <c r="P1276" s="3">
        <f t="shared" si="0"/>
        <v>0</v>
      </c>
      <c r="Q1276" s="3">
        <f t="shared" si="1"/>
        <v>100</v>
      </c>
      <c r="R1276" s="3">
        <f t="shared" si="2"/>
        <v>0</v>
      </c>
      <c r="S1276" s="11"/>
    </row>
    <row r="1277" ht="13.5" customHeight="1" spans="1:19">
      <c r="A1277" s="4" t="s">
        <v>77</v>
      </c>
      <c r="B1277" s="3">
        <v>1746</v>
      </c>
      <c r="C1277" s="3">
        <v>10331</v>
      </c>
      <c r="D1277" s="3">
        <v>0.1</v>
      </c>
      <c r="E1277" s="4" t="s">
        <v>22</v>
      </c>
      <c r="F1277" s="4" t="s">
        <v>157</v>
      </c>
      <c r="G1277" s="4" t="s">
        <v>158</v>
      </c>
      <c r="H1277" s="4" t="s">
        <v>40</v>
      </c>
      <c r="I1277" s="4" t="s">
        <v>26</v>
      </c>
      <c r="J1277" s="3">
        <v>4</v>
      </c>
      <c r="K1277" s="3">
        <v>25</v>
      </c>
      <c r="L1277" s="3">
        <v>24</v>
      </c>
      <c r="M1277" s="3">
        <v>0</v>
      </c>
      <c r="N1277" s="3">
        <v>1</v>
      </c>
      <c r="O1277" s="3">
        <v>0</v>
      </c>
      <c r="P1277" s="3">
        <f t="shared" si="0"/>
        <v>0</v>
      </c>
      <c r="Q1277" s="3">
        <f t="shared" si="1"/>
        <v>100</v>
      </c>
      <c r="R1277" s="3">
        <f t="shared" si="2"/>
        <v>0</v>
      </c>
      <c r="S1277" s="11"/>
    </row>
    <row r="1278" ht="13.5" customHeight="1" spans="1:21">
      <c r="A1278" s="4" t="s">
        <v>57</v>
      </c>
      <c r="B1278" s="3">
        <v>1847</v>
      </c>
      <c r="C1278" s="3">
        <v>10763</v>
      </c>
      <c r="D1278" s="3">
        <v>0.1</v>
      </c>
      <c r="E1278" s="4" t="s">
        <v>22</v>
      </c>
      <c r="F1278" s="4" t="s">
        <v>157</v>
      </c>
      <c r="G1278" s="4" t="s">
        <v>158</v>
      </c>
      <c r="H1278" s="4" t="s">
        <v>40</v>
      </c>
      <c r="I1278" s="4" t="s">
        <v>26</v>
      </c>
      <c r="J1278" s="3">
        <v>1</v>
      </c>
      <c r="K1278" s="3">
        <v>25</v>
      </c>
      <c r="L1278" s="3">
        <v>25</v>
      </c>
      <c r="M1278" s="3">
        <v>0</v>
      </c>
      <c r="N1278" s="3">
        <v>0</v>
      </c>
      <c r="O1278" s="3">
        <v>0</v>
      </c>
      <c r="P1278" s="3">
        <f t="shared" si="0"/>
        <v>0</v>
      </c>
      <c r="Q1278" s="3">
        <f t="shared" si="1"/>
        <v>100</v>
      </c>
      <c r="R1278" s="3">
        <f t="shared" si="2"/>
        <v>0</v>
      </c>
      <c r="S1278" s="11">
        <f>AVERAGE(Q1278:Q1281)</f>
        <v>100</v>
      </c>
      <c r="T1278" s="7">
        <f>AVERAGE(R1278:R1281)</f>
        <v>0</v>
      </c>
      <c r="U1278" s="8">
        <f>(L1278+L1279+L1280+L1281+O1278+O1279+O1280+O1281)/(K1278+K1279+K1280+K1281)*100</f>
        <v>100</v>
      </c>
    </row>
    <row r="1279" ht="13.5" customHeight="1" spans="1:19">
      <c r="A1279" s="4" t="s">
        <v>57</v>
      </c>
      <c r="B1279" s="3">
        <v>1847</v>
      </c>
      <c r="C1279" s="3">
        <v>10763</v>
      </c>
      <c r="D1279" s="3">
        <v>0.1</v>
      </c>
      <c r="E1279" s="4" t="s">
        <v>22</v>
      </c>
      <c r="F1279" s="4" t="s">
        <v>157</v>
      </c>
      <c r="G1279" s="4" t="s">
        <v>158</v>
      </c>
      <c r="H1279" s="4" t="s">
        <v>40</v>
      </c>
      <c r="I1279" s="4" t="s">
        <v>26</v>
      </c>
      <c r="J1279" s="3">
        <v>2</v>
      </c>
      <c r="K1279" s="3">
        <v>25</v>
      </c>
      <c r="L1279" s="3">
        <v>25</v>
      </c>
      <c r="M1279" s="3">
        <v>0</v>
      </c>
      <c r="N1279" s="3">
        <v>0</v>
      </c>
      <c r="O1279" s="3">
        <v>0</v>
      </c>
      <c r="P1279" s="3">
        <f t="shared" si="0"/>
        <v>0</v>
      </c>
      <c r="Q1279" s="3">
        <f t="shared" si="1"/>
        <v>100</v>
      </c>
      <c r="R1279" s="3">
        <f t="shared" si="2"/>
        <v>0</v>
      </c>
      <c r="S1279" s="11"/>
    </row>
    <row r="1280" ht="13.5" customHeight="1" spans="1:19">
      <c r="A1280" s="4" t="s">
        <v>57</v>
      </c>
      <c r="B1280" s="3">
        <v>1847</v>
      </c>
      <c r="C1280" s="3">
        <v>10763</v>
      </c>
      <c r="D1280" s="3">
        <v>0.1</v>
      </c>
      <c r="E1280" s="4" t="s">
        <v>22</v>
      </c>
      <c r="F1280" s="4" t="s">
        <v>157</v>
      </c>
      <c r="G1280" s="4" t="s">
        <v>158</v>
      </c>
      <c r="H1280" s="4" t="s">
        <v>40</v>
      </c>
      <c r="I1280" s="4" t="s">
        <v>26</v>
      </c>
      <c r="J1280" s="3">
        <v>3</v>
      </c>
      <c r="K1280" s="3">
        <v>25</v>
      </c>
      <c r="L1280" s="3">
        <v>25</v>
      </c>
      <c r="M1280" s="3">
        <v>0</v>
      </c>
      <c r="N1280" s="3">
        <v>0</v>
      </c>
      <c r="O1280" s="3">
        <v>0</v>
      </c>
      <c r="P1280" s="3">
        <f t="shared" si="0"/>
        <v>0</v>
      </c>
      <c r="Q1280" s="3">
        <f t="shared" si="1"/>
        <v>100</v>
      </c>
      <c r="R1280" s="3">
        <f t="shared" si="2"/>
        <v>0</v>
      </c>
      <c r="S1280" s="11"/>
    </row>
    <row r="1281" ht="13.5" customHeight="1" spans="1:19">
      <c r="A1281" s="4" t="s">
        <v>57</v>
      </c>
      <c r="B1281" s="3">
        <v>1847</v>
      </c>
      <c r="C1281" s="3">
        <v>10763</v>
      </c>
      <c r="D1281" s="3">
        <v>0.1</v>
      </c>
      <c r="E1281" s="4" t="s">
        <v>22</v>
      </c>
      <c r="F1281" s="4" t="s">
        <v>157</v>
      </c>
      <c r="G1281" s="4" t="s">
        <v>158</v>
      </c>
      <c r="H1281" s="4" t="s">
        <v>40</v>
      </c>
      <c r="I1281" s="4" t="s">
        <v>26</v>
      </c>
      <c r="J1281" s="3">
        <v>4</v>
      </c>
      <c r="K1281" s="3">
        <v>25</v>
      </c>
      <c r="L1281" s="3">
        <v>25</v>
      </c>
      <c r="M1281" s="3">
        <v>0</v>
      </c>
      <c r="N1281" s="3">
        <v>0</v>
      </c>
      <c r="O1281" s="3">
        <v>0</v>
      </c>
      <c r="P1281" s="3">
        <f t="shared" si="0"/>
        <v>0</v>
      </c>
      <c r="Q1281" s="3">
        <f t="shared" si="1"/>
        <v>100</v>
      </c>
      <c r="R1281" s="3">
        <f t="shared" si="2"/>
        <v>0</v>
      </c>
      <c r="S1281" s="11"/>
    </row>
    <row r="1282" ht="13.5" customHeight="1" spans="1:21">
      <c r="A1282" s="4" t="s">
        <v>36</v>
      </c>
      <c r="B1282" s="3">
        <v>1294</v>
      </c>
      <c r="C1282" s="3">
        <v>8842</v>
      </c>
      <c r="D1282" s="3">
        <v>3</v>
      </c>
      <c r="E1282" s="4" t="s">
        <v>22</v>
      </c>
      <c r="F1282" s="4" t="s">
        <v>161</v>
      </c>
      <c r="G1282" s="3" t="s">
        <v>162</v>
      </c>
      <c r="H1282" s="4" t="s">
        <v>40</v>
      </c>
      <c r="I1282" s="4" t="s">
        <v>26</v>
      </c>
      <c r="J1282" s="3">
        <v>1</v>
      </c>
      <c r="K1282" s="3">
        <v>25</v>
      </c>
      <c r="L1282" s="3">
        <v>23</v>
      </c>
      <c r="M1282" s="3">
        <v>1</v>
      </c>
      <c r="N1282" s="3">
        <v>1</v>
      </c>
      <c r="O1282" s="3">
        <v>0</v>
      </c>
      <c r="P1282" s="3">
        <f t="shared" si="0"/>
        <v>0</v>
      </c>
      <c r="Q1282" s="3">
        <f t="shared" si="1"/>
        <v>95.8333333333333</v>
      </c>
      <c r="R1282" s="3">
        <f t="shared" si="2"/>
        <v>0</v>
      </c>
      <c r="S1282" s="11">
        <f>AVERAGE(Q1282:Q1285)</f>
        <v>97.9583333333333</v>
      </c>
      <c r="T1282" s="7">
        <f>AVERAGE(R1282:R1285)</f>
        <v>0</v>
      </c>
      <c r="U1282" s="8">
        <f>(L1282+L1283+L1284+L1285+O1282+O1283+O1284+O1285)/(K1282+K1283+K1284+K1285)*100</f>
        <v>79</v>
      </c>
    </row>
    <row r="1283" ht="13.5" customHeight="1" spans="1:19">
      <c r="A1283" s="4" t="s">
        <v>36</v>
      </c>
      <c r="B1283" s="3">
        <v>1294</v>
      </c>
      <c r="C1283" s="3">
        <v>8842</v>
      </c>
      <c r="D1283" s="3">
        <v>3</v>
      </c>
      <c r="E1283" s="4" t="s">
        <v>22</v>
      </c>
      <c r="F1283" s="4" t="s">
        <v>161</v>
      </c>
      <c r="G1283" s="3" t="s">
        <v>162</v>
      </c>
      <c r="H1283" s="4" t="s">
        <v>40</v>
      </c>
      <c r="I1283" s="4" t="s">
        <v>26</v>
      </c>
      <c r="J1283" s="3">
        <v>2</v>
      </c>
      <c r="K1283" s="3">
        <v>25</v>
      </c>
      <c r="L1283" s="3">
        <v>24</v>
      </c>
      <c r="M1283" s="3">
        <v>0</v>
      </c>
      <c r="N1283" s="3">
        <v>1</v>
      </c>
      <c r="O1283" s="3">
        <v>0</v>
      </c>
      <c r="P1283" s="3">
        <f t="shared" si="0"/>
        <v>0</v>
      </c>
      <c r="Q1283" s="3">
        <f t="shared" si="1"/>
        <v>100</v>
      </c>
      <c r="R1283" s="3">
        <f t="shared" si="2"/>
        <v>0</v>
      </c>
      <c r="S1283" s="11"/>
    </row>
    <row r="1284" ht="13.5" customHeight="1" spans="1:19">
      <c r="A1284" s="4" t="s">
        <v>36</v>
      </c>
      <c r="B1284" s="3">
        <v>1294</v>
      </c>
      <c r="C1284" s="3">
        <v>8842</v>
      </c>
      <c r="D1284" s="3">
        <v>3</v>
      </c>
      <c r="E1284" s="4" t="s">
        <v>22</v>
      </c>
      <c r="F1284" s="4" t="s">
        <v>161</v>
      </c>
      <c r="G1284" s="3" t="s">
        <v>162</v>
      </c>
      <c r="H1284" s="4" t="s">
        <v>40</v>
      </c>
      <c r="I1284" s="4" t="s">
        <v>26</v>
      </c>
      <c r="J1284" s="3">
        <v>3</v>
      </c>
      <c r="K1284" s="3">
        <v>25</v>
      </c>
      <c r="L1284" s="3">
        <v>8</v>
      </c>
      <c r="M1284" s="3">
        <v>0</v>
      </c>
      <c r="N1284" s="3">
        <v>17</v>
      </c>
      <c r="O1284" s="3">
        <v>0</v>
      </c>
      <c r="P1284" s="3">
        <f t="shared" si="0"/>
        <v>0</v>
      </c>
      <c r="Q1284" s="3">
        <f t="shared" si="1"/>
        <v>100</v>
      </c>
      <c r="R1284" s="3">
        <f t="shared" si="2"/>
        <v>0</v>
      </c>
      <c r="S1284" s="11"/>
    </row>
    <row r="1285" ht="13.5" customHeight="1" spans="1:19">
      <c r="A1285" s="4" t="s">
        <v>36</v>
      </c>
      <c r="B1285" s="3">
        <v>1294</v>
      </c>
      <c r="C1285" s="3">
        <v>8842</v>
      </c>
      <c r="D1285" s="3">
        <v>3</v>
      </c>
      <c r="E1285" s="4" t="s">
        <v>22</v>
      </c>
      <c r="F1285" s="4" t="s">
        <v>161</v>
      </c>
      <c r="G1285" s="3" t="s">
        <v>162</v>
      </c>
      <c r="H1285" s="4" t="s">
        <v>40</v>
      </c>
      <c r="I1285" s="4" t="s">
        <v>26</v>
      </c>
      <c r="J1285" s="3">
        <v>4</v>
      </c>
      <c r="K1285" s="3">
        <v>25</v>
      </c>
      <c r="L1285" s="3">
        <v>24</v>
      </c>
      <c r="M1285" s="3">
        <v>1</v>
      </c>
      <c r="N1285" s="3">
        <v>0</v>
      </c>
      <c r="O1285" s="3">
        <v>0</v>
      </c>
      <c r="P1285" s="3">
        <f t="shared" si="0"/>
        <v>0</v>
      </c>
      <c r="Q1285" s="3">
        <f t="shared" si="1"/>
        <v>96</v>
      </c>
      <c r="R1285" s="3">
        <f t="shared" si="2"/>
        <v>0</v>
      </c>
      <c r="S1285" s="11"/>
    </row>
    <row r="1286" ht="13.5" customHeight="1" spans="1:21">
      <c r="A1286" s="4" t="s">
        <v>84</v>
      </c>
      <c r="B1286" s="3">
        <v>1177</v>
      </c>
      <c r="C1286" s="3">
        <v>8175</v>
      </c>
      <c r="D1286" s="3">
        <v>1</v>
      </c>
      <c r="E1286" s="4" t="s">
        <v>22</v>
      </c>
      <c r="F1286" s="4" t="s">
        <v>161</v>
      </c>
      <c r="G1286" s="3" t="s">
        <v>162</v>
      </c>
      <c r="H1286" s="4" t="s">
        <v>40</v>
      </c>
      <c r="I1286" s="4" t="s">
        <v>26</v>
      </c>
      <c r="J1286" s="3">
        <v>1</v>
      </c>
      <c r="K1286" s="3">
        <v>25</v>
      </c>
      <c r="L1286" s="3">
        <v>15</v>
      </c>
      <c r="M1286" s="3">
        <v>3</v>
      </c>
      <c r="N1286" s="3">
        <v>7</v>
      </c>
      <c r="O1286" s="3">
        <v>0</v>
      </c>
      <c r="P1286" s="3">
        <f t="shared" si="0"/>
        <v>0</v>
      </c>
      <c r="Q1286" s="3">
        <f t="shared" si="1"/>
        <v>83.3333333333333</v>
      </c>
      <c r="R1286" s="3">
        <f t="shared" si="2"/>
        <v>0</v>
      </c>
      <c r="S1286" s="11">
        <f>AVERAGE(Q1286:Q1289)</f>
        <v>81.2771739130435</v>
      </c>
      <c r="T1286" s="7">
        <f>AVERAGE(R1286:R1289)</f>
        <v>0</v>
      </c>
      <c r="U1286" s="8">
        <f>(L1286+L1287+L1288+L1289+O1286+O1287+O1288+O1289)/(K1286+K1287+K1288+K1289)*100</f>
        <v>73</v>
      </c>
    </row>
    <row r="1287" ht="13.5" customHeight="1" spans="1:19">
      <c r="A1287" s="4" t="s">
        <v>84</v>
      </c>
      <c r="B1287" s="3">
        <v>1177</v>
      </c>
      <c r="C1287" s="3">
        <v>8175</v>
      </c>
      <c r="D1287" s="3">
        <v>1</v>
      </c>
      <c r="E1287" s="4" t="s">
        <v>22</v>
      </c>
      <c r="F1287" s="4" t="s">
        <v>161</v>
      </c>
      <c r="G1287" s="3" t="s">
        <v>162</v>
      </c>
      <c r="H1287" s="4" t="s">
        <v>40</v>
      </c>
      <c r="I1287" s="4" t="s">
        <v>26</v>
      </c>
      <c r="J1287" s="3">
        <v>2</v>
      </c>
      <c r="K1287" s="3">
        <v>25</v>
      </c>
      <c r="L1287" s="3">
        <v>19</v>
      </c>
      <c r="M1287" s="3">
        <v>5</v>
      </c>
      <c r="N1287" s="3">
        <v>1</v>
      </c>
      <c r="O1287" s="3">
        <v>0</v>
      </c>
      <c r="P1287" s="3">
        <f t="shared" si="0"/>
        <v>0</v>
      </c>
      <c r="Q1287" s="3">
        <f t="shared" si="1"/>
        <v>79.1666666666667</v>
      </c>
      <c r="R1287" s="3">
        <f t="shared" si="2"/>
        <v>0</v>
      </c>
      <c r="S1287" s="11"/>
    </row>
    <row r="1288" ht="13.5" customHeight="1" spans="1:19">
      <c r="A1288" s="4" t="s">
        <v>84</v>
      </c>
      <c r="B1288" s="3">
        <v>1177</v>
      </c>
      <c r="C1288" s="3">
        <v>8175</v>
      </c>
      <c r="D1288" s="3">
        <v>1</v>
      </c>
      <c r="E1288" s="4" t="s">
        <v>22</v>
      </c>
      <c r="F1288" s="4" t="s">
        <v>161</v>
      </c>
      <c r="G1288" s="3" t="s">
        <v>162</v>
      </c>
      <c r="H1288" s="4" t="s">
        <v>40</v>
      </c>
      <c r="I1288" s="4" t="s">
        <v>26</v>
      </c>
      <c r="J1288" s="3">
        <v>3</v>
      </c>
      <c r="K1288" s="3">
        <v>25</v>
      </c>
      <c r="L1288" s="3">
        <v>19</v>
      </c>
      <c r="M1288" s="3">
        <v>4</v>
      </c>
      <c r="N1288" s="3">
        <v>2</v>
      </c>
      <c r="O1288" s="3">
        <v>0</v>
      </c>
      <c r="P1288" s="3">
        <f t="shared" si="0"/>
        <v>0</v>
      </c>
      <c r="Q1288" s="3">
        <f t="shared" si="1"/>
        <v>82.6086956521739</v>
      </c>
      <c r="R1288" s="3">
        <f t="shared" si="2"/>
        <v>0</v>
      </c>
      <c r="S1288" s="11"/>
    </row>
    <row r="1289" ht="13.5" customHeight="1" spans="1:19">
      <c r="A1289" s="4" t="s">
        <v>84</v>
      </c>
      <c r="B1289" s="3">
        <v>1177</v>
      </c>
      <c r="C1289" s="3">
        <v>8175</v>
      </c>
      <c r="D1289" s="3">
        <v>1</v>
      </c>
      <c r="E1289" s="4" t="s">
        <v>22</v>
      </c>
      <c r="F1289" s="4" t="s">
        <v>161</v>
      </c>
      <c r="G1289" s="3" t="s">
        <v>162</v>
      </c>
      <c r="H1289" s="4" t="s">
        <v>40</v>
      </c>
      <c r="I1289" s="4" t="s">
        <v>26</v>
      </c>
      <c r="J1289" s="3">
        <v>4</v>
      </c>
      <c r="K1289" s="3">
        <v>25</v>
      </c>
      <c r="L1289" s="3">
        <v>20</v>
      </c>
      <c r="M1289" s="3">
        <v>5</v>
      </c>
      <c r="N1289" s="3">
        <v>0</v>
      </c>
      <c r="O1289" s="3">
        <v>0</v>
      </c>
      <c r="P1289" s="3">
        <f t="shared" si="0"/>
        <v>0</v>
      </c>
      <c r="Q1289" s="3">
        <f t="shared" si="1"/>
        <v>80</v>
      </c>
      <c r="R1289" s="3">
        <f t="shared" si="2"/>
        <v>0</v>
      </c>
      <c r="S1289" s="11"/>
    </row>
    <row r="1290" ht="13.5" customHeight="1" spans="1:21">
      <c r="A1290" s="4" t="s">
        <v>85</v>
      </c>
      <c r="B1290" s="3">
        <v>1167</v>
      </c>
      <c r="C1290" s="3">
        <v>7918</v>
      </c>
      <c r="D1290" s="3">
        <v>1</v>
      </c>
      <c r="E1290" s="4" t="s">
        <v>22</v>
      </c>
      <c r="F1290" s="4" t="s">
        <v>161</v>
      </c>
      <c r="G1290" s="3" t="s">
        <v>162</v>
      </c>
      <c r="H1290" s="4" t="s">
        <v>40</v>
      </c>
      <c r="I1290" s="4" t="s">
        <v>26</v>
      </c>
      <c r="J1290" s="3">
        <v>1</v>
      </c>
      <c r="K1290" s="3">
        <v>25</v>
      </c>
      <c r="L1290" s="3">
        <v>19</v>
      </c>
      <c r="M1290" s="3">
        <v>3</v>
      </c>
      <c r="N1290" s="3">
        <v>3</v>
      </c>
      <c r="O1290" s="3">
        <v>0</v>
      </c>
      <c r="P1290" s="3">
        <f t="shared" si="0"/>
        <v>0</v>
      </c>
      <c r="Q1290" s="3">
        <f t="shared" si="1"/>
        <v>86.3636363636364</v>
      </c>
      <c r="R1290" s="3">
        <f t="shared" si="2"/>
        <v>0</v>
      </c>
      <c r="S1290" s="11">
        <f>AVERAGE(Q1290:Q1293)</f>
        <v>78.823051948052</v>
      </c>
      <c r="T1290" s="7">
        <f>AVERAGE(R1290:R1293)</f>
        <v>0</v>
      </c>
      <c r="U1290" s="8">
        <f>(L1290+L1291+L1292+L1293+O1290+O1291+O1292+O1293)/(K1290+K1291+K1292+K1293)*100</f>
        <v>69</v>
      </c>
    </row>
    <row r="1291" ht="13.5" customHeight="1" spans="1:19">
      <c r="A1291" s="4" t="s">
        <v>85</v>
      </c>
      <c r="B1291" s="3">
        <v>1167</v>
      </c>
      <c r="C1291" s="3">
        <v>7918</v>
      </c>
      <c r="D1291" s="3">
        <v>1</v>
      </c>
      <c r="E1291" s="4" t="s">
        <v>22</v>
      </c>
      <c r="F1291" s="4" t="s">
        <v>161</v>
      </c>
      <c r="G1291" s="3" t="s">
        <v>162</v>
      </c>
      <c r="H1291" s="4" t="s">
        <v>40</v>
      </c>
      <c r="I1291" s="4" t="s">
        <v>26</v>
      </c>
      <c r="J1291" s="3">
        <v>2</v>
      </c>
      <c r="K1291" s="3">
        <v>25</v>
      </c>
      <c r="L1291" s="3">
        <v>14</v>
      </c>
      <c r="M1291" s="3">
        <v>6</v>
      </c>
      <c r="N1291" s="3">
        <v>5</v>
      </c>
      <c r="O1291" s="3">
        <v>0</v>
      </c>
      <c r="P1291" s="3">
        <f t="shared" si="0"/>
        <v>0</v>
      </c>
      <c r="Q1291" s="3">
        <f t="shared" si="1"/>
        <v>70</v>
      </c>
      <c r="R1291" s="3">
        <f t="shared" si="2"/>
        <v>0</v>
      </c>
      <c r="S1291" s="11"/>
    </row>
    <row r="1292" ht="13.5" customHeight="1" spans="1:19">
      <c r="A1292" s="4" t="s">
        <v>85</v>
      </c>
      <c r="B1292" s="3">
        <v>1167</v>
      </c>
      <c r="C1292" s="3">
        <v>7918</v>
      </c>
      <c r="D1292" s="3">
        <v>1</v>
      </c>
      <c r="E1292" s="4" t="s">
        <v>22</v>
      </c>
      <c r="F1292" s="4" t="s">
        <v>161</v>
      </c>
      <c r="G1292" s="3" t="s">
        <v>162</v>
      </c>
      <c r="H1292" s="4" t="s">
        <v>40</v>
      </c>
      <c r="I1292" s="4" t="s">
        <v>26</v>
      </c>
      <c r="J1292" s="3">
        <v>3</v>
      </c>
      <c r="K1292" s="3">
        <v>25</v>
      </c>
      <c r="L1292" s="3">
        <v>21</v>
      </c>
      <c r="M1292" s="3">
        <v>3</v>
      </c>
      <c r="N1292" s="3">
        <v>1</v>
      </c>
      <c r="O1292" s="3">
        <v>0</v>
      </c>
      <c r="P1292" s="3">
        <f t="shared" si="0"/>
        <v>0</v>
      </c>
      <c r="Q1292" s="3">
        <f t="shared" si="1"/>
        <v>87.5</v>
      </c>
      <c r="R1292" s="3">
        <f t="shared" si="2"/>
        <v>0</v>
      </c>
      <c r="S1292" s="11"/>
    </row>
    <row r="1293" ht="13.5" customHeight="1" spans="1:19">
      <c r="A1293" s="4" t="s">
        <v>85</v>
      </c>
      <c r="B1293" s="3">
        <v>1167</v>
      </c>
      <c r="C1293" s="3">
        <v>7918</v>
      </c>
      <c r="D1293" s="3">
        <v>1</v>
      </c>
      <c r="E1293" s="4" t="s">
        <v>22</v>
      </c>
      <c r="F1293" s="4" t="s">
        <v>161</v>
      </c>
      <c r="G1293" s="3" t="s">
        <v>162</v>
      </c>
      <c r="H1293" s="4" t="s">
        <v>40</v>
      </c>
      <c r="I1293" s="4" t="s">
        <v>26</v>
      </c>
      <c r="J1293" s="3">
        <v>4</v>
      </c>
      <c r="K1293" s="3">
        <v>25</v>
      </c>
      <c r="L1293" s="3">
        <v>15</v>
      </c>
      <c r="M1293" s="3">
        <v>6</v>
      </c>
      <c r="N1293" s="3">
        <v>4</v>
      </c>
      <c r="O1293" s="3">
        <v>0</v>
      </c>
      <c r="P1293" s="3">
        <f t="shared" si="0"/>
        <v>0</v>
      </c>
      <c r="Q1293" s="3">
        <f t="shared" si="1"/>
        <v>71.4285714285714</v>
      </c>
      <c r="R1293" s="3">
        <f t="shared" si="2"/>
        <v>0</v>
      </c>
      <c r="S1293" s="11"/>
    </row>
    <row r="1294" ht="13.5" customHeight="1" spans="1:21">
      <c r="A1294" s="4" t="s">
        <v>46</v>
      </c>
      <c r="B1294" s="3">
        <v>1270</v>
      </c>
      <c r="C1294" s="3">
        <v>8757</v>
      </c>
      <c r="D1294" s="3">
        <v>1</v>
      </c>
      <c r="E1294" s="4" t="s">
        <v>22</v>
      </c>
      <c r="F1294" s="4" t="s">
        <v>161</v>
      </c>
      <c r="G1294" s="3" t="s">
        <v>162</v>
      </c>
      <c r="H1294" s="4" t="s">
        <v>40</v>
      </c>
      <c r="I1294" s="4" t="s">
        <v>26</v>
      </c>
      <c r="J1294" s="3">
        <v>1</v>
      </c>
      <c r="K1294" s="3">
        <v>25</v>
      </c>
      <c r="L1294" s="3">
        <v>25</v>
      </c>
      <c r="M1294" s="3">
        <v>0</v>
      </c>
      <c r="N1294" s="3">
        <v>0</v>
      </c>
      <c r="O1294" s="3">
        <v>0</v>
      </c>
      <c r="P1294" s="3">
        <f t="shared" si="0"/>
        <v>0</v>
      </c>
      <c r="Q1294" s="3">
        <f t="shared" si="1"/>
        <v>100</v>
      </c>
      <c r="R1294" s="3">
        <f t="shared" si="2"/>
        <v>0</v>
      </c>
      <c r="S1294" s="11">
        <f>AVERAGE(Q1294:Q1297)</f>
        <v>97</v>
      </c>
      <c r="T1294" s="7">
        <f>AVERAGE(R1294:R1297)</f>
        <v>0</v>
      </c>
      <c r="U1294" s="8">
        <f>(L1294+L1295+L1296+L1297+O1294+O1295+O1296+O1297)/(K1294+K1295+K1296+K1297)*100</f>
        <v>94.059405940594</v>
      </c>
    </row>
    <row r="1295" ht="13.5" customHeight="1" spans="1:19">
      <c r="A1295" s="4" t="s">
        <v>46</v>
      </c>
      <c r="B1295" s="3">
        <v>1270</v>
      </c>
      <c r="C1295" s="3">
        <v>8757</v>
      </c>
      <c r="D1295" s="3">
        <v>1</v>
      </c>
      <c r="E1295" s="4" t="s">
        <v>22</v>
      </c>
      <c r="F1295" s="4" t="s">
        <v>161</v>
      </c>
      <c r="G1295" s="3" t="s">
        <v>162</v>
      </c>
      <c r="H1295" s="4" t="s">
        <v>40</v>
      </c>
      <c r="I1295" s="4" t="s">
        <v>26</v>
      </c>
      <c r="J1295" s="3">
        <v>2</v>
      </c>
      <c r="K1295" s="3">
        <v>26</v>
      </c>
      <c r="L1295" s="3">
        <v>23</v>
      </c>
      <c r="M1295" s="3">
        <v>0</v>
      </c>
      <c r="N1295" s="3">
        <v>3</v>
      </c>
      <c r="O1295" s="3">
        <v>0</v>
      </c>
      <c r="P1295" s="3">
        <f t="shared" si="0"/>
        <v>0</v>
      </c>
      <c r="Q1295" s="3">
        <f t="shared" si="1"/>
        <v>100</v>
      </c>
      <c r="R1295" s="3">
        <f t="shared" si="2"/>
        <v>0</v>
      </c>
      <c r="S1295" s="11"/>
    </row>
    <row r="1296" ht="13.5" customHeight="1" spans="1:19">
      <c r="A1296" s="4" t="s">
        <v>46</v>
      </c>
      <c r="B1296" s="3">
        <v>1270</v>
      </c>
      <c r="C1296" s="3">
        <v>8757</v>
      </c>
      <c r="D1296" s="3">
        <v>1</v>
      </c>
      <c r="E1296" s="4" t="s">
        <v>22</v>
      </c>
      <c r="F1296" s="4" t="s">
        <v>161</v>
      </c>
      <c r="G1296" s="3" t="s">
        <v>162</v>
      </c>
      <c r="H1296" s="4" t="s">
        <v>40</v>
      </c>
      <c r="I1296" s="4" t="s">
        <v>26</v>
      </c>
      <c r="J1296" s="3">
        <v>3</v>
      </c>
      <c r="K1296" s="3">
        <v>25</v>
      </c>
      <c r="L1296" s="3">
        <v>24</v>
      </c>
      <c r="M1296" s="3">
        <v>1</v>
      </c>
      <c r="N1296" s="3">
        <v>0</v>
      </c>
      <c r="O1296" s="3">
        <v>0</v>
      </c>
      <c r="P1296" s="3">
        <f t="shared" si="0"/>
        <v>0</v>
      </c>
      <c r="Q1296" s="3">
        <f t="shared" si="1"/>
        <v>96</v>
      </c>
      <c r="R1296" s="3">
        <f t="shared" si="2"/>
        <v>0</v>
      </c>
      <c r="S1296" s="11"/>
    </row>
    <row r="1297" ht="13.5" customHeight="1" spans="1:19">
      <c r="A1297" s="4" t="s">
        <v>46</v>
      </c>
      <c r="B1297" s="3">
        <v>1270</v>
      </c>
      <c r="C1297" s="3">
        <v>8757</v>
      </c>
      <c r="D1297" s="3">
        <v>1</v>
      </c>
      <c r="E1297" s="4" t="s">
        <v>22</v>
      </c>
      <c r="F1297" s="4" t="s">
        <v>161</v>
      </c>
      <c r="G1297" s="3" t="s">
        <v>162</v>
      </c>
      <c r="H1297" s="4" t="s">
        <v>40</v>
      </c>
      <c r="I1297" s="4" t="s">
        <v>26</v>
      </c>
      <c r="J1297" s="3">
        <v>4</v>
      </c>
      <c r="K1297" s="3">
        <v>25</v>
      </c>
      <c r="L1297" s="3">
        <v>23</v>
      </c>
      <c r="M1297" s="3">
        <v>2</v>
      </c>
      <c r="N1297" s="3">
        <v>0</v>
      </c>
      <c r="O1297" s="3">
        <v>0</v>
      </c>
      <c r="P1297" s="3">
        <f t="shared" si="0"/>
        <v>0</v>
      </c>
      <c r="Q1297" s="3">
        <f t="shared" si="1"/>
        <v>92</v>
      </c>
      <c r="R1297" s="3">
        <f t="shared" si="2"/>
        <v>0</v>
      </c>
      <c r="S1297" s="11"/>
    </row>
    <row r="1298" ht="13.5" customHeight="1" spans="1:21">
      <c r="A1298" s="4" t="s">
        <v>27</v>
      </c>
      <c r="B1298" s="3">
        <v>1204</v>
      </c>
      <c r="C1298" s="3">
        <v>7100</v>
      </c>
      <c r="D1298" s="3">
        <v>1</v>
      </c>
      <c r="E1298" s="4" t="s">
        <v>22</v>
      </c>
      <c r="F1298" s="4" t="s">
        <v>157</v>
      </c>
      <c r="G1298" s="4" t="s">
        <v>158</v>
      </c>
      <c r="H1298" s="4" t="s">
        <v>40</v>
      </c>
      <c r="I1298" s="4" t="s">
        <v>26</v>
      </c>
      <c r="J1298" s="3">
        <v>1</v>
      </c>
      <c r="K1298" s="3">
        <v>25</v>
      </c>
      <c r="L1298" s="3">
        <v>21</v>
      </c>
      <c r="M1298" s="3">
        <v>4</v>
      </c>
      <c r="N1298" s="3">
        <v>0</v>
      </c>
      <c r="O1298" s="3">
        <v>0</v>
      </c>
      <c r="P1298" s="3">
        <f t="shared" si="0"/>
        <v>0</v>
      </c>
      <c r="Q1298" s="3">
        <f t="shared" si="1"/>
        <v>84</v>
      </c>
      <c r="R1298" s="3">
        <f t="shared" si="2"/>
        <v>0</v>
      </c>
      <c r="S1298" s="11">
        <f>AVERAGE(Q1298:Q1301)</f>
        <v>91.875</v>
      </c>
      <c r="T1298" s="7">
        <f>AVERAGE(R1298:R1301)</f>
        <v>0</v>
      </c>
      <c r="U1298" s="8">
        <f>(L1298+L1299+L1300+L1301+O1298+O1299+O1300+O1301)/(K1298+K1299+K1300+K1301)*100</f>
        <v>90.9090909090909</v>
      </c>
    </row>
    <row r="1299" ht="13.5" customHeight="1" spans="1:19">
      <c r="A1299" s="4" t="s">
        <v>27</v>
      </c>
      <c r="B1299" s="3">
        <v>1204</v>
      </c>
      <c r="C1299" s="3">
        <v>7100</v>
      </c>
      <c r="D1299" s="3">
        <v>1</v>
      </c>
      <c r="E1299" s="4" t="s">
        <v>22</v>
      </c>
      <c r="F1299" s="4" t="s">
        <v>157</v>
      </c>
      <c r="G1299" s="4" t="s">
        <v>158</v>
      </c>
      <c r="H1299" s="4" t="s">
        <v>40</v>
      </c>
      <c r="I1299" s="4" t="s">
        <v>26</v>
      </c>
      <c r="J1299" s="3">
        <v>2</v>
      </c>
      <c r="K1299" s="3">
        <v>25</v>
      </c>
      <c r="L1299" s="3">
        <v>24</v>
      </c>
      <c r="M1299" s="3">
        <v>1</v>
      </c>
      <c r="N1299" s="3">
        <v>0</v>
      </c>
      <c r="O1299" s="3">
        <v>0</v>
      </c>
      <c r="P1299" s="3">
        <f t="shared" si="0"/>
        <v>0</v>
      </c>
      <c r="Q1299" s="3">
        <f t="shared" si="1"/>
        <v>96</v>
      </c>
      <c r="R1299" s="3">
        <f t="shared" si="2"/>
        <v>0</v>
      </c>
      <c r="S1299" s="11"/>
    </row>
    <row r="1300" ht="13.5" customHeight="1" spans="1:19">
      <c r="A1300" s="4" t="s">
        <v>27</v>
      </c>
      <c r="B1300" s="3">
        <v>1204</v>
      </c>
      <c r="C1300" s="3">
        <v>7100</v>
      </c>
      <c r="D1300" s="3">
        <v>1</v>
      </c>
      <c r="E1300" s="4" t="s">
        <v>22</v>
      </c>
      <c r="F1300" s="4" t="s">
        <v>157</v>
      </c>
      <c r="G1300" s="4" t="s">
        <v>158</v>
      </c>
      <c r="H1300" s="4" t="s">
        <v>40</v>
      </c>
      <c r="I1300" s="4" t="s">
        <v>26</v>
      </c>
      <c r="J1300" s="3">
        <v>3</v>
      </c>
      <c r="K1300" s="3">
        <v>25</v>
      </c>
      <c r="L1300" s="3">
        <v>22</v>
      </c>
      <c r="M1300" s="3">
        <v>2</v>
      </c>
      <c r="N1300" s="3">
        <v>1</v>
      </c>
      <c r="O1300" s="3">
        <v>0</v>
      </c>
      <c r="P1300" s="3">
        <f t="shared" si="0"/>
        <v>0</v>
      </c>
      <c r="Q1300" s="3">
        <f t="shared" si="1"/>
        <v>91.6666666666667</v>
      </c>
      <c r="R1300" s="3">
        <f t="shared" si="2"/>
        <v>0</v>
      </c>
      <c r="S1300" s="11"/>
    </row>
    <row r="1301" ht="13.5" customHeight="1" spans="1:19">
      <c r="A1301" s="4" t="s">
        <v>27</v>
      </c>
      <c r="B1301" s="3">
        <v>1204</v>
      </c>
      <c r="C1301" s="3">
        <v>7100</v>
      </c>
      <c r="D1301" s="3">
        <v>1</v>
      </c>
      <c r="E1301" s="4" t="s">
        <v>22</v>
      </c>
      <c r="F1301" s="4" t="s">
        <v>157</v>
      </c>
      <c r="G1301" s="4" t="s">
        <v>158</v>
      </c>
      <c r="H1301" s="4" t="s">
        <v>40</v>
      </c>
      <c r="I1301" s="4" t="s">
        <v>26</v>
      </c>
      <c r="J1301" s="3">
        <v>4</v>
      </c>
      <c r="K1301" s="3">
        <v>24</v>
      </c>
      <c r="L1301" s="3">
        <v>23</v>
      </c>
      <c r="M1301" s="3">
        <v>1</v>
      </c>
      <c r="N1301" s="3">
        <v>0</v>
      </c>
      <c r="O1301" s="3">
        <v>0</v>
      </c>
      <c r="P1301" s="3">
        <f t="shared" si="0"/>
        <v>0</v>
      </c>
      <c r="Q1301" s="3">
        <f t="shared" si="1"/>
        <v>95.8333333333333</v>
      </c>
      <c r="R1301" s="3">
        <f t="shared" si="2"/>
        <v>0</v>
      </c>
      <c r="S1301" s="11"/>
    </row>
    <row r="1302" ht="13.5" customHeight="1" spans="1:21">
      <c r="A1302" s="4" t="s">
        <v>121</v>
      </c>
      <c r="B1302" s="3">
        <v>1017</v>
      </c>
      <c r="C1302" s="3">
        <v>5556</v>
      </c>
      <c r="D1302" s="3">
        <v>1</v>
      </c>
      <c r="E1302" s="4" t="s">
        <v>22</v>
      </c>
      <c r="F1302" s="4" t="s">
        <v>161</v>
      </c>
      <c r="G1302" s="3" t="s">
        <v>162</v>
      </c>
      <c r="H1302" s="4" t="s">
        <v>40</v>
      </c>
      <c r="I1302" s="4" t="s">
        <v>26</v>
      </c>
      <c r="J1302" s="3">
        <v>1</v>
      </c>
      <c r="K1302" s="3">
        <v>24</v>
      </c>
      <c r="L1302" s="3">
        <v>23</v>
      </c>
      <c r="M1302" s="3">
        <v>1</v>
      </c>
      <c r="N1302" s="3">
        <v>0</v>
      </c>
      <c r="O1302" s="3">
        <v>0</v>
      </c>
      <c r="P1302" s="3">
        <f t="shared" si="0"/>
        <v>0</v>
      </c>
      <c r="Q1302" s="3">
        <f t="shared" si="1"/>
        <v>95.8333333333333</v>
      </c>
      <c r="R1302" s="3">
        <f t="shared" si="2"/>
        <v>0</v>
      </c>
      <c r="S1302" s="11">
        <f>AVERAGE(Q1302:Q1305)</f>
        <v>94.6856060606061</v>
      </c>
      <c r="T1302" s="7">
        <f>AVERAGE(R1302:R1305)</f>
        <v>0</v>
      </c>
      <c r="U1302" s="8">
        <f>(L1302+L1303+L1304+L1305+O1302+O1303+O1304+O1305)/(K1302+K1303+K1304+K1305)*100</f>
        <v>90.0990099009901</v>
      </c>
    </row>
    <row r="1303" ht="13.5" customHeight="1" spans="1:19">
      <c r="A1303" s="4" t="s">
        <v>121</v>
      </c>
      <c r="B1303" s="3">
        <v>1017</v>
      </c>
      <c r="C1303" s="3">
        <v>5556</v>
      </c>
      <c r="D1303" s="3">
        <v>1</v>
      </c>
      <c r="E1303" s="4" t="s">
        <v>22</v>
      </c>
      <c r="F1303" s="4" t="s">
        <v>161</v>
      </c>
      <c r="G1303" s="3" t="s">
        <v>162</v>
      </c>
      <c r="H1303" s="4" t="s">
        <v>40</v>
      </c>
      <c r="I1303" s="4" t="s">
        <v>26</v>
      </c>
      <c r="J1303" s="3">
        <v>2</v>
      </c>
      <c r="K1303" s="3">
        <v>26</v>
      </c>
      <c r="L1303" s="3">
        <v>23</v>
      </c>
      <c r="M1303" s="3">
        <v>2</v>
      </c>
      <c r="N1303" s="3">
        <v>1</v>
      </c>
      <c r="O1303" s="3">
        <v>0</v>
      </c>
      <c r="P1303" s="3">
        <f t="shared" si="0"/>
        <v>0</v>
      </c>
      <c r="Q1303" s="3">
        <f t="shared" si="1"/>
        <v>92</v>
      </c>
      <c r="R1303" s="3">
        <f t="shared" si="2"/>
        <v>0</v>
      </c>
      <c r="S1303" s="11"/>
    </row>
    <row r="1304" ht="13.5" customHeight="1" spans="1:19">
      <c r="A1304" s="4" t="s">
        <v>121</v>
      </c>
      <c r="B1304" s="3">
        <v>1017</v>
      </c>
      <c r="C1304" s="3">
        <v>5556</v>
      </c>
      <c r="D1304" s="3">
        <v>1</v>
      </c>
      <c r="E1304" s="4" t="s">
        <v>22</v>
      </c>
      <c r="F1304" s="4" t="s">
        <v>161</v>
      </c>
      <c r="G1304" s="3" t="s">
        <v>162</v>
      </c>
      <c r="H1304" s="4" t="s">
        <v>40</v>
      </c>
      <c r="I1304" s="4" t="s">
        <v>26</v>
      </c>
      <c r="J1304" s="3">
        <v>3</v>
      </c>
      <c r="K1304" s="3">
        <v>25</v>
      </c>
      <c r="L1304" s="3">
        <v>20</v>
      </c>
      <c r="M1304" s="3">
        <v>2</v>
      </c>
      <c r="N1304" s="3">
        <v>3</v>
      </c>
      <c r="O1304" s="3">
        <v>0</v>
      </c>
      <c r="P1304" s="3">
        <f t="shared" si="0"/>
        <v>0</v>
      </c>
      <c r="Q1304" s="3">
        <f t="shared" si="1"/>
        <v>90.9090909090909</v>
      </c>
      <c r="R1304" s="3">
        <f t="shared" si="2"/>
        <v>0</v>
      </c>
      <c r="S1304" s="11"/>
    </row>
    <row r="1305" ht="13.5" customHeight="1" spans="1:19">
      <c r="A1305" s="4" t="s">
        <v>121</v>
      </c>
      <c r="B1305" s="3">
        <v>1017</v>
      </c>
      <c r="C1305" s="3">
        <v>5556</v>
      </c>
      <c r="D1305" s="3">
        <v>1</v>
      </c>
      <c r="E1305" s="4" t="s">
        <v>22</v>
      </c>
      <c r="F1305" s="4" t="s">
        <v>161</v>
      </c>
      <c r="G1305" s="3" t="s">
        <v>162</v>
      </c>
      <c r="H1305" s="4" t="s">
        <v>40</v>
      </c>
      <c r="I1305" s="4" t="s">
        <v>26</v>
      </c>
      <c r="J1305" s="3">
        <v>4</v>
      </c>
      <c r="K1305" s="3">
        <v>26</v>
      </c>
      <c r="L1305" s="3">
        <v>25</v>
      </c>
      <c r="M1305" s="3">
        <v>0</v>
      </c>
      <c r="N1305" s="3">
        <v>1</v>
      </c>
      <c r="O1305" s="3">
        <v>0</v>
      </c>
      <c r="P1305" s="3">
        <f t="shared" si="0"/>
        <v>0</v>
      </c>
      <c r="Q1305" s="3">
        <f t="shared" si="1"/>
        <v>100</v>
      </c>
      <c r="R1305" s="3">
        <f t="shared" si="2"/>
        <v>0</v>
      </c>
      <c r="S1305" s="11"/>
    </row>
    <row r="1306" ht="13.5" customHeight="1" spans="1:21">
      <c r="A1306" s="4" t="s">
        <v>77</v>
      </c>
      <c r="B1306" s="3">
        <v>1746</v>
      </c>
      <c r="C1306" s="3">
        <v>10331</v>
      </c>
      <c r="D1306" s="3">
        <v>2</v>
      </c>
      <c r="E1306" s="4" t="s">
        <v>22</v>
      </c>
      <c r="F1306" s="4" t="s">
        <v>161</v>
      </c>
      <c r="G1306" s="3" t="s">
        <v>162</v>
      </c>
      <c r="H1306" s="4" t="s">
        <v>40</v>
      </c>
      <c r="I1306" s="4" t="s">
        <v>26</v>
      </c>
      <c r="J1306" s="3">
        <v>1</v>
      </c>
      <c r="K1306" s="3">
        <v>25</v>
      </c>
      <c r="L1306" s="3">
        <v>23</v>
      </c>
      <c r="M1306" s="3">
        <v>1</v>
      </c>
      <c r="N1306" s="3">
        <v>1</v>
      </c>
      <c r="O1306" s="3">
        <v>0</v>
      </c>
      <c r="P1306" s="3">
        <f t="shared" si="0"/>
        <v>0</v>
      </c>
      <c r="Q1306" s="3">
        <f t="shared" si="1"/>
        <v>95.8333333333333</v>
      </c>
      <c r="R1306" s="3">
        <f t="shared" si="2"/>
        <v>0</v>
      </c>
      <c r="S1306" s="11">
        <f>AVERAGE(Q1306:Q1309)</f>
        <v>93.75</v>
      </c>
      <c r="T1306" s="7">
        <f>AVERAGE(R1306:R1309)</f>
        <v>2.08333333333333</v>
      </c>
      <c r="U1306" s="8">
        <f>(L1306+L1307+L1308+L1309+O1306+O1307+O1308+O1309)/(K1306+K1307+K1308+K1309)*100</f>
        <v>91</v>
      </c>
    </row>
    <row r="1307" ht="13.5" customHeight="1" spans="1:19">
      <c r="A1307" s="4" t="s">
        <v>77</v>
      </c>
      <c r="B1307" s="3">
        <v>1746</v>
      </c>
      <c r="C1307" s="3">
        <v>10331</v>
      </c>
      <c r="D1307" s="3">
        <v>2</v>
      </c>
      <c r="E1307" s="4" t="s">
        <v>22</v>
      </c>
      <c r="F1307" s="4" t="s">
        <v>161</v>
      </c>
      <c r="G1307" s="3" t="s">
        <v>162</v>
      </c>
      <c r="H1307" s="4" t="s">
        <v>40</v>
      </c>
      <c r="I1307" s="4" t="s">
        <v>26</v>
      </c>
      <c r="J1307" s="3">
        <v>2</v>
      </c>
      <c r="K1307" s="3">
        <v>25</v>
      </c>
      <c r="L1307" s="3">
        <v>20</v>
      </c>
      <c r="M1307" s="3">
        <v>2</v>
      </c>
      <c r="N1307" s="3">
        <v>1</v>
      </c>
      <c r="O1307" s="3">
        <v>2</v>
      </c>
      <c r="P1307" s="3">
        <f t="shared" si="0"/>
        <v>0</v>
      </c>
      <c r="Q1307" s="3">
        <f t="shared" si="1"/>
        <v>83.3333333333333</v>
      </c>
      <c r="R1307" s="3">
        <f t="shared" si="2"/>
        <v>8.33333333333333</v>
      </c>
      <c r="S1307" s="11"/>
    </row>
    <row r="1308" ht="13.5" customHeight="1" spans="1:19">
      <c r="A1308" s="4" t="s">
        <v>77</v>
      </c>
      <c r="B1308" s="3">
        <v>1746</v>
      </c>
      <c r="C1308" s="3">
        <v>10331</v>
      </c>
      <c r="D1308" s="3">
        <v>2</v>
      </c>
      <c r="E1308" s="4" t="s">
        <v>22</v>
      </c>
      <c r="F1308" s="4" t="s">
        <v>161</v>
      </c>
      <c r="G1308" s="3" t="s">
        <v>162</v>
      </c>
      <c r="H1308" s="4" t="s">
        <v>40</v>
      </c>
      <c r="I1308" s="4" t="s">
        <v>26</v>
      </c>
      <c r="J1308" s="3">
        <v>3</v>
      </c>
      <c r="K1308" s="3">
        <v>25</v>
      </c>
      <c r="L1308" s="3">
        <v>23</v>
      </c>
      <c r="M1308" s="3">
        <v>1</v>
      </c>
      <c r="N1308" s="3">
        <v>1</v>
      </c>
      <c r="O1308" s="3">
        <v>0</v>
      </c>
      <c r="P1308" s="3">
        <f t="shared" si="0"/>
        <v>0</v>
      </c>
      <c r="Q1308" s="3">
        <f t="shared" si="1"/>
        <v>95.8333333333333</v>
      </c>
      <c r="R1308" s="3">
        <f t="shared" si="2"/>
        <v>0</v>
      </c>
      <c r="S1308" s="11"/>
    </row>
    <row r="1309" ht="13.5" customHeight="1" spans="1:19">
      <c r="A1309" s="4" t="s">
        <v>77</v>
      </c>
      <c r="B1309" s="3">
        <v>1746</v>
      </c>
      <c r="C1309" s="3">
        <v>10331</v>
      </c>
      <c r="D1309" s="3">
        <v>2</v>
      </c>
      <c r="E1309" s="4" t="s">
        <v>22</v>
      </c>
      <c r="F1309" s="4" t="s">
        <v>161</v>
      </c>
      <c r="G1309" s="3" t="s">
        <v>162</v>
      </c>
      <c r="H1309" s="4" t="s">
        <v>40</v>
      </c>
      <c r="I1309" s="4" t="s">
        <v>26</v>
      </c>
      <c r="J1309" s="3">
        <v>4</v>
      </c>
      <c r="K1309" s="3">
        <v>25</v>
      </c>
      <c r="L1309" s="3">
        <v>23</v>
      </c>
      <c r="M1309" s="3">
        <v>0</v>
      </c>
      <c r="N1309" s="3">
        <v>2</v>
      </c>
      <c r="O1309" s="3">
        <v>0</v>
      </c>
      <c r="P1309" s="3">
        <f t="shared" si="0"/>
        <v>0</v>
      </c>
      <c r="Q1309" s="3">
        <f t="shared" si="1"/>
        <v>100</v>
      </c>
      <c r="R1309" s="3">
        <f t="shared" si="2"/>
        <v>0</v>
      </c>
      <c r="S1309" s="11"/>
    </row>
    <row r="1310" ht="13.5" customHeight="1" spans="1:21">
      <c r="A1310" s="4" t="s">
        <v>60</v>
      </c>
      <c r="B1310" s="3">
        <v>1330</v>
      </c>
      <c r="C1310" s="3">
        <v>9133</v>
      </c>
      <c r="D1310" s="3">
        <v>1</v>
      </c>
      <c r="E1310" s="4" t="s">
        <v>22</v>
      </c>
      <c r="F1310" s="4" t="s">
        <v>161</v>
      </c>
      <c r="G1310" s="3" t="s">
        <v>162</v>
      </c>
      <c r="H1310" s="4" t="s">
        <v>40</v>
      </c>
      <c r="I1310" s="4" t="s">
        <v>26</v>
      </c>
      <c r="J1310" s="3">
        <v>1</v>
      </c>
      <c r="K1310" s="3">
        <v>25</v>
      </c>
      <c r="L1310" s="3">
        <v>21</v>
      </c>
      <c r="M1310" s="3">
        <v>0</v>
      </c>
      <c r="N1310" s="3">
        <v>2</v>
      </c>
      <c r="O1310" s="3">
        <v>2</v>
      </c>
      <c r="P1310" s="3">
        <f t="shared" si="0"/>
        <v>0</v>
      </c>
      <c r="Q1310" s="3">
        <f t="shared" si="1"/>
        <v>91.304347826087</v>
      </c>
      <c r="R1310" s="3">
        <f t="shared" si="2"/>
        <v>8.69565217391304</v>
      </c>
      <c r="S1310" s="11">
        <f>AVERAGE(Q1310:Q1313)</f>
        <v>82.1340579710145</v>
      </c>
      <c r="T1310" s="7">
        <f>AVERAGE(R1310:R1313)</f>
        <v>11.518115942029</v>
      </c>
      <c r="U1310" s="8">
        <f>(L1310+L1311+L1312+L1313+O1310+O1311+O1312+O1313)/(K1310+K1311+K1312+K1313)*100</f>
        <v>88.1188118811881</v>
      </c>
    </row>
    <row r="1311" ht="13.5" customHeight="1" spans="1:19">
      <c r="A1311" s="4" t="s">
        <v>60</v>
      </c>
      <c r="B1311" s="3">
        <v>1330</v>
      </c>
      <c r="C1311" s="3">
        <v>9133</v>
      </c>
      <c r="D1311" s="3">
        <v>1</v>
      </c>
      <c r="E1311" s="4" t="s">
        <v>22</v>
      </c>
      <c r="F1311" s="4" t="s">
        <v>161</v>
      </c>
      <c r="G1311" s="3" t="s">
        <v>162</v>
      </c>
      <c r="H1311" s="4" t="s">
        <v>40</v>
      </c>
      <c r="I1311" s="4" t="s">
        <v>26</v>
      </c>
      <c r="J1311" s="3">
        <v>2</v>
      </c>
      <c r="K1311" s="3">
        <v>25</v>
      </c>
      <c r="L1311" s="3">
        <v>19</v>
      </c>
      <c r="M1311" s="3">
        <v>2</v>
      </c>
      <c r="N1311" s="3">
        <v>0</v>
      </c>
      <c r="O1311" s="3">
        <v>4</v>
      </c>
      <c r="P1311" s="3">
        <f t="shared" si="0"/>
        <v>0</v>
      </c>
      <c r="Q1311" s="3">
        <f t="shared" si="1"/>
        <v>76</v>
      </c>
      <c r="R1311" s="3">
        <f t="shared" si="2"/>
        <v>16</v>
      </c>
      <c r="S1311" s="11"/>
    </row>
    <row r="1312" ht="13.5" customHeight="1" spans="1:19">
      <c r="A1312" s="4" t="s">
        <v>60</v>
      </c>
      <c r="B1312" s="3">
        <v>1330</v>
      </c>
      <c r="C1312" s="3">
        <v>9133</v>
      </c>
      <c r="D1312" s="3">
        <v>1</v>
      </c>
      <c r="E1312" s="4" t="s">
        <v>22</v>
      </c>
      <c r="F1312" s="4" t="s">
        <v>161</v>
      </c>
      <c r="G1312" s="3" t="s">
        <v>162</v>
      </c>
      <c r="H1312" s="4" t="s">
        <v>40</v>
      </c>
      <c r="I1312" s="4" t="s">
        <v>26</v>
      </c>
      <c r="J1312" s="3">
        <v>3</v>
      </c>
      <c r="K1312" s="3">
        <v>25</v>
      </c>
      <c r="L1312" s="3">
        <v>22</v>
      </c>
      <c r="M1312" s="3">
        <v>0</v>
      </c>
      <c r="N1312" s="3">
        <v>1</v>
      </c>
      <c r="O1312" s="3">
        <v>2</v>
      </c>
      <c r="P1312" s="3">
        <f t="shared" si="0"/>
        <v>0</v>
      </c>
      <c r="Q1312" s="3">
        <f t="shared" si="1"/>
        <v>91.6666666666667</v>
      </c>
      <c r="R1312" s="3">
        <f t="shared" si="2"/>
        <v>8.33333333333333</v>
      </c>
      <c r="S1312" s="11"/>
    </row>
    <row r="1313" ht="13.5" customHeight="1" spans="1:19">
      <c r="A1313" s="4" t="s">
        <v>60</v>
      </c>
      <c r="B1313" s="3">
        <v>1330</v>
      </c>
      <c r="C1313" s="3">
        <v>9133</v>
      </c>
      <c r="D1313" s="3">
        <v>1</v>
      </c>
      <c r="E1313" s="4" t="s">
        <v>22</v>
      </c>
      <c r="F1313" s="4" t="s">
        <v>161</v>
      </c>
      <c r="G1313" s="3" t="s">
        <v>162</v>
      </c>
      <c r="H1313" s="4" t="s">
        <v>40</v>
      </c>
      <c r="I1313" s="4" t="s">
        <v>26</v>
      </c>
      <c r="J1313" s="3">
        <v>4</v>
      </c>
      <c r="K1313" s="3">
        <v>26</v>
      </c>
      <c r="L1313" s="3">
        <v>16</v>
      </c>
      <c r="M1313" s="3">
        <v>4</v>
      </c>
      <c r="N1313" s="3">
        <v>3</v>
      </c>
      <c r="O1313" s="3">
        <v>3</v>
      </c>
      <c r="P1313" s="3">
        <f t="shared" si="0"/>
        <v>0</v>
      </c>
      <c r="Q1313" s="3">
        <f t="shared" si="1"/>
        <v>69.5652173913043</v>
      </c>
      <c r="R1313" s="3">
        <f t="shared" si="2"/>
        <v>13.0434782608696</v>
      </c>
      <c r="S1313" s="11"/>
    </row>
    <row r="1314" ht="13.5" customHeight="1" spans="1:21">
      <c r="A1314" s="4" t="s">
        <v>27</v>
      </c>
      <c r="B1314" s="3">
        <v>1204</v>
      </c>
      <c r="C1314" s="3">
        <v>7100</v>
      </c>
      <c r="D1314" s="3">
        <v>5</v>
      </c>
      <c r="E1314" s="4" t="s">
        <v>22</v>
      </c>
      <c r="F1314" s="4" t="s">
        <v>161</v>
      </c>
      <c r="G1314" s="3" t="s">
        <v>162</v>
      </c>
      <c r="H1314" s="4" t="s">
        <v>40</v>
      </c>
      <c r="I1314" s="4" t="s">
        <v>26</v>
      </c>
      <c r="J1314" s="3">
        <v>1</v>
      </c>
      <c r="K1314" s="3">
        <v>25</v>
      </c>
      <c r="L1314" s="3">
        <v>23</v>
      </c>
      <c r="M1314" s="3">
        <v>0</v>
      </c>
      <c r="N1314" s="3">
        <v>2</v>
      </c>
      <c r="O1314" s="3">
        <v>0</v>
      </c>
      <c r="P1314" s="3">
        <f t="shared" si="0"/>
        <v>0</v>
      </c>
      <c r="Q1314" s="3">
        <f t="shared" si="1"/>
        <v>100</v>
      </c>
      <c r="R1314" s="3">
        <f t="shared" si="2"/>
        <v>0</v>
      </c>
      <c r="S1314" s="11">
        <f>AVERAGE(Q1314:Q1317)</f>
        <v>94.8260869565217</v>
      </c>
      <c r="T1314" s="7">
        <f>AVERAGE(R1314:R1317)</f>
        <v>0</v>
      </c>
      <c r="U1314" s="8">
        <f>(L1314+L1315+L1316+L1317+O1314+O1315+O1316+O1317)/(K1314+K1315+K1316+K1317)*100</f>
        <v>90.9090909090909</v>
      </c>
    </row>
    <row r="1315" ht="13.5" customHeight="1" spans="1:19">
      <c r="A1315" s="4" t="s">
        <v>27</v>
      </c>
      <c r="B1315" s="3">
        <v>1204</v>
      </c>
      <c r="C1315" s="3">
        <v>7100</v>
      </c>
      <c r="D1315" s="3">
        <v>5</v>
      </c>
      <c r="E1315" s="4" t="s">
        <v>22</v>
      </c>
      <c r="F1315" s="4" t="s">
        <v>161</v>
      </c>
      <c r="G1315" s="3" t="s">
        <v>162</v>
      </c>
      <c r="H1315" s="4" t="s">
        <v>40</v>
      </c>
      <c r="I1315" s="4" t="s">
        <v>26</v>
      </c>
      <c r="J1315" s="3">
        <v>2</v>
      </c>
      <c r="K1315" s="3">
        <v>25</v>
      </c>
      <c r="L1315" s="3">
        <v>24</v>
      </c>
      <c r="M1315" s="3">
        <v>0</v>
      </c>
      <c r="N1315" s="3">
        <v>1</v>
      </c>
      <c r="O1315" s="3">
        <v>0</v>
      </c>
      <c r="P1315" s="3">
        <f t="shared" si="0"/>
        <v>0</v>
      </c>
      <c r="Q1315" s="3">
        <f t="shared" si="1"/>
        <v>100</v>
      </c>
      <c r="R1315" s="3">
        <f t="shared" si="2"/>
        <v>0</v>
      </c>
      <c r="S1315" s="11"/>
    </row>
    <row r="1316" ht="13.5" customHeight="1" spans="1:19">
      <c r="A1316" s="4" t="s">
        <v>27</v>
      </c>
      <c r="B1316" s="3">
        <v>1204</v>
      </c>
      <c r="C1316" s="3">
        <v>7100</v>
      </c>
      <c r="D1316" s="3">
        <v>5</v>
      </c>
      <c r="E1316" s="4" t="s">
        <v>22</v>
      </c>
      <c r="F1316" s="4" t="s">
        <v>161</v>
      </c>
      <c r="G1316" s="3" t="s">
        <v>162</v>
      </c>
      <c r="H1316" s="4" t="s">
        <v>40</v>
      </c>
      <c r="I1316" s="4" t="s">
        <v>26</v>
      </c>
      <c r="J1316" s="3">
        <v>3</v>
      </c>
      <c r="K1316" s="3">
        <v>25</v>
      </c>
      <c r="L1316" s="3">
        <v>22</v>
      </c>
      <c r="M1316" s="3">
        <v>3</v>
      </c>
      <c r="N1316" s="3">
        <v>0</v>
      </c>
      <c r="O1316" s="3">
        <v>0</v>
      </c>
      <c r="P1316" s="3">
        <f t="shared" si="0"/>
        <v>0</v>
      </c>
      <c r="Q1316" s="3">
        <f t="shared" si="1"/>
        <v>88</v>
      </c>
      <c r="R1316" s="3">
        <f t="shared" si="2"/>
        <v>0</v>
      </c>
      <c r="S1316" s="11"/>
    </row>
    <row r="1317" ht="13.5" customHeight="1" spans="1:19">
      <c r="A1317" s="4" t="s">
        <v>27</v>
      </c>
      <c r="B1317" s="3">
        <v>1204</v>
      </c>
      <c r="C1317" s="3">
        <v>7100</v>
      </c>
      <c r="D1317" s="3">
        <v>5</v>
      </c>
      <c r="E1317" s="4" t="s">
        <v>22</v>
      </c>
      <c r="F1317" s="4" t="s">
        <v>161</v>
      </c>
      <c r="G1317" s="3" t="s">
        <v>162</v>
      </c>
      <c r="H1317" s="4" t="s">
        <v>40</v>
      </c>
      <c r="I1317" s="4" t="s">
        <v>26</v>
      </c>
      <c r="J1317" s="3">
        <v>4</v>
      </c>
      <c r="K1317" s="3">
        <v>24</v>
      </c>
      <c r="L1317" s="3">
        <v>21</v>
      </c>
      <c r="M1317" s="3">
        <v>2</v>
      </c>
      <c r="N1317" s="3">
        <v>1</v>
      </c>
      <c r="O1317" s="3">
        <v>0</v>
      </c>
      <c r="P1317" s="3">
        <f t="shared" si="0"/>
        <v>0</v>
      </c>
      <c r="Q1317" s="3">
        <f t="shared" si="1"/>
        <v>91.304347826087</v>
      </c>
      <c r="R1317" s="3">
        <f t="shared" si="2"/>
        <v>0</v>
      </c>
      <c r="S1317" s="11"/>
    </row>
    <row r="1318" ht="13.5" customHeight="1" spans="1:21">
      <c r="A1318" s="4" t="s">
        <v>122</v>
      </c>
      <c r="B1318" s="3">
        <v>1017</v>
      </c>
      <c r="C1318" s="3">
        <v>5938</v>
      </c>
      <c r="D1318" s="3">
        <v>1</v>
      </c>
      <c r="E1318" s="4" t="s">
        <v>22</v>
      </c>
      <c r="F1318" s="4" t="s">
        <v>161</v>
      </c>
      <c r="G1318" s="3" t="s">
        <v>162</v>
      </c>
      <c r="H1318" s="4" t="s">
        <v>40</v>
      </c>
      <c r="I1318" s="4" t="s">
        <v>26</v>
      </c>
      <c r="J1318" s="3">
        <v>1</v>
      </c>
      <c r="K1318" s="3">
        <v>23</v>
      </c>
      <c r="L1318" s="3">
        <v>6</v>
      </c>
      <c r="M1318" s="3">
        <v>3</v>
      </c>
      <c r="N1318" s="3">
        <v>14</v>
      </c>
      <c r="O1318" s="3">
        <v>0</v>
      </c>
      <c r="P1318" s="3">
        <f t="shared" si="0"/>
        <v>0</v>
      </c>
      <c r="Q1318" s="3">
        <f t="shared" si="1"/>
        <v>66.6666666666667</v>
      </c>
      <c r="R1318" s="3">
        <f t="shared" si="2"/>
        <v>0</v>
      </c>
      <c r="S1318" s="11">
        <f>AVERAGE(Q1318:Q1321)</f>
        <v>75.5952380952381</v>
      </c>
      <c r="T1318" s="7">
        <f>AVERAGE(R1318:R1321)</f>
        <v>0</v>
      </c>
      <c r="U1318" s="8">
        <f>(L1318+L1319+L1320+L1321+O1318+O1319+O1320+O1321)/(K1318+K1319+K1320+K1321)*100</f>
        <v>22.3529411764706</v>
      </c>
    </row>
    <row r="1319" ht="13.5" customHeight="1" spans="1:19">
      <c r="A1319" s="4" t="s">
        <v>122</v>
      </c>
      <c r="B1319" s="3">
        <v>1017</v>
      </c>
      <c r="C1319" s="3">
        <v>5938</v>
      </c>
      <c r="D1319" s="3">
        <v>1</v>
      </c>
      <c r="E1319" s="4" t="s">
        <v>22</v>
      </c>
      <c r="F1319" s="4" t="s">
        <v>161</v>
      </c>
      <c r="G1319" s="3" t="s">
        <v>162</v>
      </c>
      <c r="H1319" s="4" t="s">
        <v>40</v>
      </c>
      <c r="I1319" s="4" t="s">
        <v>26</v>
      </c>
      <c r="J1319" s="3">
        <v>2</v>
      </c>
      <c r="K1319" s="3">
        <v>22</v>
      </c>
      <c r="L1319" s="3">
        <v>6</v>
      </c>
      <c r="M1319" s="3">
        <v>1</v>
      </c>
      <c r="N1319" s="3">
        <v>15</v>
      </c>
      <c r="O1319" s="3">
        <v>0</v>
      </c>
      <c r="P1319" s="3">
        <f t="shared" si="0"/>
        <v>0</v>
      </c>
      <c r="Q1319" s="3">
        <f t="shared" si="1"/>
        <v>85.7142857142857</v>
      </c>
      <c r="R1319" s="3">
        <f t="shared" si="2"/>
        <v>0</v>
      </c>
      <c r="S1319" s="11"/>
    </row>
    <row r="1320" ht="13.5" customHeight="1" spans="1:19">
      <c r="A1320" s="4" t="s">
        <v>122</v>
      </c>
      <c r="B1320" s="3">
        <v>1017</v>
      </c>
      <c r="C1320" s="3">
        <v>5938</v>
      </c>
      <c r="D1320" s="3">
        <v>1</v>
      </c>
      <c r="E1320" s="4" t="s">
        <v>22</v>
      </c>
      <c r="F1320" s="4" t="s">
        <v>161</v>
      </c>
      <c r="G1320" s="3" t="s">
        <v>162</v>
      </c>
      <c r="H1320" s="4" t="s">
        <v>40</v>
      </c>
      <c r="I1320" s="4" t="s">
        <v>26</v>
      </c>
      <c r="J1320" s="3">
        <v>3</v>
      </c>
      <c r="K1320" s="3">
        <v>20</v>
      </c>
      <c r="L1320" s="3">
        <v>4</v>
      </c>
      <c r="M1320" s="3">
        <v>0</v>
      </c>
      <c r="N1320" s="3">
        <v>16</v>
      </c>
      <c r="O1320" s="3">
        <v>0</v>
      </c>
      <c r="P1320" s="3">
        <f t="shared" si="0"/>
        <v>0</v>
      </c>
      <c r="Q1320" s="3">
        <f t="shared" si="1"/>
        <v>100</v>
      </c>
      <c r="R1320" s="3">
        <f t="shared" si="2"/>
        <v>0</v>
      </c>
      <c r="S1320" s="11"/>
    </row>
    <row r="1321" ht="13.5" customHeight="1" spans="1:19">
      <c r="A1321" s="4" t="s">
        <v>122</v>
      </c>
      <c r="B1321" s="3">
        <v>1017</v>
      </c>
      <c r="C1321" s="3">
        <v>5938</v>
      </c>
      <c r="D1321" s="3">
        <v>1</v>
      </c>
      <c r="E1321" s="4" t="s">
        <v>22</v>
      </c>
      <c r="F1321" s="4" t="s">
        <v>161</v>
      </c>
      <c r="G1321" s="3" t="s">
        <v>162</v>
      </c>
      <c r="H1321" s="4" t="s">
        <v>40</v>
      </c>
      <c r="I1321" s="4" t="s">
        <v>26</v>
      </c>
      <c r="J1321" s="3">
        <v>4</v>
      </c>
      <c r="K1321" s="3">
        <v>20</v>
      </c>
      <c r="L1321" s="3">
        <v>3</v>
      </c>
      <c r="M1321" s="3">
        <v>3</v>
      </c>
      <c r="N1321" s="3">
        <v>14</v>
      </c>
      <c r="O1321" s="3">
        <v>0</v>
      </c>
      <c r="P1321" s="3">
        <f t="shared" si="0"/>
        <v>0</v>
      </c>
      <c r="Q1321" s="3">
        <f t="shared" si="1"/>
        <v>50</v>
      </c>
      <c r="R1321" s="3">
        <f t="shared" si="2"/>
        <v>0</v>
      </c>
      <c r="S1321" s="11"/>
    </row>
    <row r="1322" ht="13.5" customHeight="1" spans="1:21">
      <c r="A1322" s="4" t="s">
        <v>46</v>
      </c>
      <c r="B1322" s="3">
        <v>1270</v>
      </c>
      <c r="C1322" s="3">
        <v>8757</v>
      </c>
      <c r="D1322" s="3">
        <v>0.1</v>
      </c>
      <c r="E1322" s="4" t="s">
        <v>22</v>
      </c>
      <c r="F1322" s="4" t="s">
        <v>157</v>
      </c>
      <c r="G1322" s="4" t="s">
        <v>158</v>
      </c>
      <c r="H1322" s="4" t="s">
        <v>40</v>
      </c>
      <c r="I1322" s="4" t="s">
        <v>26</v>
      </c>
      <c r="J1322" s="3">
        <v>1</v>
      </c>
      <c r="K1322" s="3">
        <v>25</v>
      </c>
      <c r="L1322" s="3">
        <v>23</v>
      </c>
      <c r="M1322" s="3">
        <v>0</v>
      </c>
      <c r="N1322" s="3">
        <v>2</v>
      </c>
      <c r="O1322" s="3">
        <v>0</v>
      </c>
      <c r="P1322" s="3">
        <f t="shared" si="0"/>
        <v>0</v>
      </c>
      <c r="Q1322" s="3">
        <f t="shared" si="1"/>
        <v>100</v>
      </c>
      <c r="R1322" s="3">
        <f t="shared" si="2"/>
        <v>0</v>
      </c>
      <c r="S1322" s="11">
        <f>AVERAGE(Q1322:Q1325)</f>
        <v>98.9583333333333</v>
      </c>
      <c r="T1322" s="7">
        <f>AVERAGE(R1322:R1325)</f>
        <v>0</v>
      </c>
      <c r="U1322" s="8">
        <f>(L1322+L1323+L1324+L1325+O1322+O1323+O1324+O1325)/(K1322+K1323+K1324+K1325)*100</f>
        <v>94</v>
      </c>
    </row>
    <row r="1323" ht="13.5" customHeight="1" spans="1:19">
      <c r="A1323" s="4" t="s">
        <v>46</v>
      </c>
      <c r="B1323" s="3">
        <v>1270</v>
      </c>
      <c r="C1323" s="3">
        <v>8757</v>
      </c>
      <c r="D1323" s="3">
        <v>0.1</v>
      </c>
      <c r="E1323" s="4" t="s">
        <v>22</v>
      </c>
      <c r="F1323" s="4" t="s">
        <v>157</v>
      </c>
      <c r="G1323" s="4" t="s">
        <v>158</v>
      </c>
      <c r="H1323" s="4" t="s">
        <v>40</v>
      </c>
      <c r="I1323" s="4" t="s">
        <v>26</v>
      </c>
      <c r="J1323" s="3">
        <v>2</v>
      </c>
      <c r="K1323" s="3">
        <v>25</v>
      </c>
      <c r="L1323" s="3">
        <v>25</v>
      </c>
      <c r="M1323" s="3">
        <v>0</v>
      </c>
      <c r="N1323" s="3">
        <v>0</v>
      </c>
      <c r="O1323" s="3">
        <v>0</v>
      </c>
      <c r="P1323" s="3">
        <f t="shared" si="0"/>
        <v>0</v>
      </c>
      <c r="Q1323" s="3">
        <f t="shared" si="1"/>
        <v>100</v>
      </c>
      <c r="R1323" s="3">
        <f t="shared" si="2"/>
        <v>0</v>
      </c>
      <c r="S1323" s="11"/>
    </row>
    <row r="1324" ht="13.5" customHeight="1" spans="1:19">
      <c r="A1324" s="4" t="s">
        <v>46</v>
      </c>
      <c r="B1324" s="3">
        <v>1270</v>
      </c>
      <c r="C1324" s="3">
        <v>8757</v>
      </c>
      <c r="D1324" s="3">
        <v>0.1</v>
      </c>
      <c r="E1324" s="4" t="s">
        <v>22</v>
      </c>
      <c r="F1324" s="4" t="s">
        <v>157</v>
      </c>
      <c r="G1324" s="4" t="s">
        <v>158</v>
      </c>
      <c r="H1324" s="4" t="s">
        <v>40</v>
      </c>
      <c r="I1324" s="4" t="s">
        <v>26</v>
      </c>
      <c r="J1324" s="3">
        <v>3</v>
      </c>
      <c r="K1324" s="3">
        <v>25</v>
      </c>
      <c r="L1324" s="3">
        <v>23</v>
      </c>
      <c r="M1324" s="3">
        <v>1</v>
      </c>
      <c r="N1324" s="3">
        <v>1</v>
      </c>
      <c r="O1324" s="3">
        <v>0</v>
      </c>
      <c r="P1324" s="3">
        <f t="shared" si="0"/>
        <v>0</v>
      </c>
      <c r="Q1324" s="3">
        <f t="shared" si="1"/>
        <v>95.8333333333333</v>
      </c>
      <c r="R1324" s="3">
        <f t="shared" si="2"/>
        <v>0</v>
      </c>
      <c r="S1324" s="11"/>
    </row>
    <row r="1325" ht="13.5" customHeight="1" spans="1:19">
      <c r="A1325" s="4" t="s">
        <v>46</v>
      </c>
      <c r="B1325" s="3">
        <v>1270</v>
      </c>
      <c r="C1325" s="3">
        <v>8757</v>
      </c>
      <c r="D1325" s="3">
        <v>0.1</v>
      </c>
      <c r="E1325" s="4" t="s">
        <v>22</v>
      </c>
      <c r="F1325" s="4" t="s">
        <v>157</v>
      </c>
      <c r="G1325" s="4" t="s">
        <v>158</v>
      </c>
      <c r="H1325" s="4" t="s">
        <v>40</v>
      </c>
      <c r="I1325" s="4" t="s">
        <v>26</v>
      </c>
      <c r="J1325" s="3">
        <v>4</v>
      </c>
      <c r="K1325" s="3">
        <v>25</v>
      </c>
      <c r="L1325" s="3">
        <v>23</v>
      </c>
      <c r="M1325" s="3">
        <v>0</v>
      </c>
      <c r="N1325" s="3">
        <v>2</v>
      </c>
      <c r="O1325" s="3">
        <v>0</v>
      </c>
      <c r="P1325" s="3">
        <f t="shared" si="0"/>
        <v>0</v>
      </c>
      <c r="Q1325" s="3">
        <f t="shared" si="1"/>
        <v>100</v>
      </c>
      <c r="R1325" s="3">
        <f t="shared" si="2"/>
        <v>0</v>
      </c>
      <c r="S1325" s="11"/>
    </row>
    <row r="1326" ht="13.5" customHeight="1" spans="1:21">
      <c r="A1326" s="4" t="s">
        <v>46</v>
      </c>
      <c r="B1326" s="3">
        <v>1270</v>
      </c>
      <c r="C1326" s="3">
        <v>8757</v>
      </c>
      <c r="D1326" s="3">
        <v>0.1</v>
      </c>
      <c r="E1326" s="4" t="s">
        <v>22</v>
      </c>
      <c r="F1326" s="4" t="s">
        <v>159</v>
      </c>
      <c r="G1326" s="3" t="s">
        <v>160</v>
      </c>
      <c r="H1326" s="4" t="s">
        <v>40</v>
      </c>
      <c r="I1326" s="4" t="s">
        <v>26</v>
      </c>
      <c r="J1326" s="3">
        <v>1</v>
      </c>
      <c r="K1326" s="3">
        <v>20</v>
      </c>
      <c r="L1326" s="3">
        <v>12</v>
      </c>
      <c r="M1326" s="3">
        <v>6</v>
      </c>
      <c r="N1326" s="3">
        <v>1</v>
      </c>
      <c r="O1326" s="3">
        <v>1</v>
      </c>
      <c r="P1326" s="3">
        <f t="shared" si="0"/>
        <v>0</v>
      </c>
      <c r="Q1326" s="3">
        <f t="shared" si="1"/>
        <v>63.1578947368421</v>
      </c>
      <c r="R1326" s="3">
        <f t="shared" si="2"/>
        <v>5.26315789473684</v>
      </c>
      <c r="S1326" s="11">
        <f>AVERAGE(Q1326:Q1329)</f>
        <v>81.9736842105263</v>
      </c>
      <c r="T1326" s="7">
        <f>AVERAGE(R1326:R1329)</f>
        <v>2.63157894736842</v>
      </c>
      <c r="U1326" s="8">
        <f>(L1326+L1327+L1328+L1329+O1326+O1327+O1328+O1329)/(K1326+K1327+K1328+K1329)*100</f>
        <v>82.5</v>
      </c>
    </row>
    <row r="1327" ht="13.5" customHeight="1" spans="1:19">
      <c r="A1327" s="4" t="s">
        <v>46</v>
      </c>
      <c r="B1327" s="3">
        <v>1270</v>
      </c>
      <c r="C1327" s="3">
        <v>8757</v>
      </c>
      <c r="D1327" s="3">
        <v>0.1</v>
      </c>
      <c r="E1327" s="4" t="s">
        <v>22</v>
      </c>
      <c r="F1327" s="4" t="s">
        <v>159</v>
      </c>
      <c r="G1327" s="3" t="s">
        <v>160</v>
      </c>
      <c r="H1327" s="4" t="s">
        <v>40</v>
      </c>
      <c r="I1327" s="4" t="s">
        <v>26</v>
      </c>
      <c r="J1327" s="3">
        <v>2</v>
      </c>
      <c r="K1327" s="3">
        <v>20</v>
      </c>
      <c r="L1327" s="3">
        <v>20</v>
      </c>
      <c r="M1327" s="3">
        <v>0</v>
      </c>
      <c r="N1327" s="3">
        <v>0</v>
      </c>
      <c r="O1327" s="3">
        <v>0</v>
      </c>
      <c r="P1327" s="3">
        <f t="shared" si="0"/>
        <v>0</v>
      </c>
      <c r="Q1327" s="3">
        <f t="shared" si="1"/>
        <v>100</v>
      </c>
      <c r="R1327" s="3">
        <f t="shared" si="2"/>
        <v>0</v>
      </c>
      <c r="S1327" s="11"/>
    </row>
    <row r="1328" ht="13.5" customHeight="1" spans="1:19">
      <c r="A1328" s="4" t="s">
        <v>46</v>
      </c>
      <c r="B1328" s="3">
        <v>1270</v>
      </c>
      <c r="C1328" s="3">
        <v>8757</v>
      </c>
      <c r="D1328" s="3">
        <v>0.1</v>
      </c>
      <c r="E1328" s="4" t="s">
        <v>22</v>
      </c>
      <c r="F1328" s="4" t="s">
        <v>159</v>
      </c>
      <c r="G1328" s="3" t="s">
        <v>160</v>
      </c>
      <c r="H1328" s="4" t="s">
        <v>40</v>
      </c>
      <c r="I1328" s="4" t="s">
        <v>26</v>
      </c>
      <c r="J1328" s="3">
        <v>3</v>
      </c>
      <c r="K1328" s="3">
        <v>20</v>
      </c>
      <c r="L1328" s="3">
        <v>18</v>
      </c>
      <c r="M1328" s="3">
        <v>0</v>
      </c>
      <c r="N1328" s="3">
        <v>1</v>
      </c>
      <c r="O1328" s="3">
        <v>1</v>
      </c>
      <c r="P1328" s="3">
        <f t="shared" si="0"/>
        <v>0</v>
      </c>
      <c r="Q1328" s="3">
        <f t="shared" si="1"/>
        <v>94.7368421052632</v>
      </c>
      <c r="R1328" s="3">
        <f t="shared" si="2"/>
        <v>5.26315789473684</v>
      </c>
      <c r="S1328" s="11"/>
    </row>
    <row r="1329" ht="13.5" customHeight="1" spans="1:19">
      <c r="A1329" s="4" t="s">
        <v>46</v>
      </c>
      <c r="B1329" s="3">
        <v>1270</v>
      </c>
      <c r="C1329" s="3">
        <v>8757</v>
      </c>
      <c r="D1329" s="3">
        <v>0.1</v>
      </c>
      <c r="E1329" s="4" t="s">
        <v>22</v>
      </c>
      <c r="F1329" s="4" t="s">
        <v>159</v>
      </c>
      <c r="G1329" s="3" t="s">
        <v>160</v>
      </c>
      <c r="H1329" s="4" t="s">
        <v>40</v>
      </c>
      <c r="I1329" s="4" t="s">
        <v>26</v>
      </c>
      <c r="J1329" s="3">
        <v>4</v>
      </c>
      <c r="K1329" s="3">
        <v>20</v>
      </c>
      <c r="L1329" s="3">
        <v>14</v>
      </c>
      <c r="M1329" s="3">
        <v>6</v>
      </c>
      <c r="N1329" s="3">
        <v>0</v>
      </c>
      <c r="O1329" s="3">
        <v>0</v>
      </c>
      <c r="P1329" s="3">
        <f t="shared" si="0"/>
        <v>0</v>
      </c>
      <c r="Q1329" s="3">
        <f t="shared" si="1"/>
        <v>70</v>
      </c>
      <c r="R1329" s="3">
        <f t="shared" si="2"/>
        <v>0</v>
      </c>
      <c r="S1329" s="11"/>
    </row>
    <row r="1330" ht="13.5" customHeight="1" spans="1:21">
      <c r="A1330" s="4" t="s">
        <v>36</v>
      </c>
      <c r="B1330" s="3">
        <v>1294</v>
      </c>
      <c r="C1330" s="3">
        <v>8842</v>
      </c>
      <c r="D1330" s="3">
        <v>1</v>
      </c>
      <c r="E1330" s="4" t="s">
        <v>22</v>
      </c>
      <c r="F1330" s="4" t="s">
        <v>157</v>
      </c>
      <c r="G1330" s="4" t="s">
        <v>158</v>
      </c>
      <c r="H1330" s="4" t="s">
        <v>40</v>
      </c>
      <c r="I1330" s="4" t="s">
        <v>26</v>
      </c>
      <c r="J1330" s="3">
        <v>1</v>
      </c>
      <c r="K1330" s="3">
        <v>24</v>
      </c>
      <c r="L1330" s="3">
        <v>22</v>
      </c>
      <c r="M1330" s="3">
        <v>1</v>
      </c>
      <c r="N1330" s="3">
        <v>1</v>
      </c>
      <c r="O1330" s="3">
        <v>0</v>
      </c>
      <c r="P1330" s="3">
        <f t="shared" si="0"/>
        <v>0</v>
      </c>
      <c r="Q1330" s="3">
        <f t="shared" si="1"/>
        <v>95.6521739130435</v>
      </c>
      <c r="R1330" s="3">
        <f t="shared" si="2"/>
        <v>0</v>
      </c>
      <c r="S1330" s="11">
        <f>AVERAGE(Q1330:Q1333)</f>
        <v>95.7880434782609</v>
      </c>
      <c r="T1330" s="7">
        <f>AVERAGE(R1330:R1333)</f>
        <v>0</v>
      </c>
      <c r="U1330" s="8">
        <f>(L1330+L1331+L1332+L1333+O1330+O1331+O1332+O1333)/(K1330+K1331+K1332+K1333)*100</f>
        <v>89.8989898989899</v>
      </c>
    </row>
    <row r="1331" ht="13.5" customHeight="1" spans="1:19">
      <c r="A1331" s="4" t="s">
        <v>36</v>
      </c>
      <c r="B1331" s="3">
        <v>1294</v>
      </c>
      <c r="C1331" s="3">
        <v>8842</v>
      </c>
      <c r="D1331" s="3">
        <v>1</v>
      </c>
      <c r="E1331" s="4" t="s">
        <v>22</v>
      </c>
      <c r="F1331" s="4" t="s">
        <v>157</v>
      </c>
      <c r="G1331" s="4" t="s">
        <v>158</v>
      </c>
      <c r="H1331" s="4" t="s">
        <v>40</v>
      </c>
      <c r="I1331" s="4" t="s">
        <v>26</v>
      </c>
      <c r="J1331" s="3">
        <v>2</v>
      </c>
      <c r="K1331" s="3">
        <v>25</v>
      </c>
      <c r="L1331" s="3">
        <v>23</v>
      </c>
      <c r="M1331" s="3">
        <v>0</v>
      </c>
      <c r="N1331" s="3">
        <v>2</v>
      </c>
      <c r="O1331" s="3">
        <v>0</v>
      </c>
      <c r="P1331" s="3">
        <f t="shared" si="0"/>
        <v>0</v>
      </c>
      <c r="Q1331" s="3">
        <f t="shared" si="1"/>
        <v>100</v>
      </c>
      <c r="R1331" s="3">
        <f t="shared" si="2"/>
        <v>0</v>
      </c>
      <c r="S1331" s="11"/>
    </row>
    <row r="1332" ht="13.5" customHeight="1" spans="1:19">
      <c r="A1332" s="4" t="s">
        <v>36</v>
      </c>
      <c r="B1332" s="3">
        <v>1294</v>
      </c>
      <c r="C1332" s="3">
        <v>8842</v>
      </c>
      <c r="D1332" s="3">
        <v>1</v>
      </c>
      <c r="E1332" s="4" t="s">
        <v>22</v>
      </c>
      <c r="F1332" s="4" t="s">
        <v>157</v>
      </c>
      <c r="G1332" s="4" t="s">
        <v>158</v>
      </c>
      <c r="H1332" s="4" t="s">
        <v>40</v>
      </c>
      <c r="I1332" s="4" t="s">
        <v>26</v>
      </c>
      <c r="J1332" s="3">
        <v>3</v>
      </c>
      <c r="K1332" s="3">
        <v>25</v>
      </c>
      <c r="L1332" s="3">
        <v>23</v>
      </c>
      <c r="M1332" s="3">
        <v>0</v>
      </c>
      <c r="N1332" s="3">
        <v>2</v>
      </c>
      <c r="O1332" s="3">
        <v>0</v>
      </c>
      <c r="P1332" s="3">
        <f t="shared" si="0"/>
        <v>0</v>
      </c>
      <c r="Q1332" s="3">
        <f t="shared" si="1"/>
        <v>100</v>
      </c>
      <c r="R1332" s="3">
        <f t="shared" si="2"/>
        <v>0</v>
      </c>
      <c r="S1332" s="11"/>
    </row>
    <row r="1333" ht="13.5" customHeight="1" spans="1:19">
      <c r="A1333" s="4" t="s">
        <v>36</v>
      </c>
      <c r="B1333" s="3">
        <v>1294</v>
      </c>
      <c r="C1333" s="3">
        <v>8842</v>
      </c>
      <c r="D1333" s="3">
        <v>1</v>
      </c>
      <c r="E1333" s="4" t="s">
        <v>22</v>
      </c>
      <c r="F1333" s="4" t="s">
        <v>157</v>
      </c>
      <c r="G1333" s="4" t="s">
        <v>158</v>
      </c>
      <c r="H1333" s="4" t="s">
        <v>40</v>
      </c>
      <c r="I1333" s="4" t="s">
        <v>26</v>
      </c>
      <c r="J1333" s="3">
        <v>4</v>
      </c>
      <c r="K1333" s="3">
        <v>25</v>
      </c>
      <c r="L1333" s="3">
        <v>21</v>
      </c>
      <c r="M1333" s="3">
        <v>3</v>
      </c>
      <c r="N1333" s="3">
        <v>1</v>
      </c>
      <c r="O1333" s="3">
        <v>0</v>
      </c>
      <c r="P1333" s="3">
        <f t="shared" si="0"/>
        <v>0</v>
      </c>
      <c r="Q1333" s="3">
        <f t="shared" si="1"/>
        <v>87.5</v>
      </c>
      <c r="R1333" s="3">
        <f t="shared" si="2"/>
        <v>0</v>
      </c>
      <c r="S1333" s="11"/>
    </row>
    <row r="1334" ht="13.5" customHeight="1" spans="1:21">
      <c r="A1334" s="4" t="s">
        <v>86</v>
      </c>
      <c r="B1334" s="3">
        <v>1097</v>
      </c>
      <c r="C1334" s="3">
        <v>6679</v>
      </c>
      <c r="D1334" s="3">
        <v>0.1</v>
      </c>
      <c r="E1334" s="4" t="s">
        <v>22</v>
      </c>
      <c r="F1334" s="4" t="s">
        <v>157</v>
      </c>
      <c r="G1334" s="4" t="s">
        <v>158</v>
      </c>
      <c r="H1334" s="4" t="s">
        <v>40</v>
      </c>
      <c r="I1334" s="4" t="s">
        <v>26</v>
      </c>
      <c r="J1334" s="3">
        <v>1</v>
      </c>
      <c r="K1334" s="3">
        <v>20</v>
      </c>
      <c r="L1334" s="3">
        <v>8</v>
      </c>
      <c r="M1334" s="3">
        <v>5</v>
      </c>
      <c r="N1334" s="3">
        <v>7</v>
      </c>
      <c r="O1334" s="3">
        <v>0</v>
      </c>
      <c r="P1334" s="3">
        <f t="shared" si="0"/>
        <v>0</v>
      </c>
      <c r="Q1334" s="3">
        <f t="shared" si="1"/>
        <v>61.5384615384615</v>
      </c>
      <c r="R1334" s="3">
        <f t="shared" si="2"/>
        <v>0</v>
      </c>
      <c r="S1334" s="11">
        <f>AVERAGE(Q1334:Q1337)</f>
        <v>62.2460872460872</v>
      </c>
      <c r="T1334" s="7">
        <f>AVERAGE(R1334:R1337)</f>
        <v>0</v>
      </c>
      <c r="U1334" s="8">
        <f>(L1334+L1335+L1336+L1337+O1334+O1335+O1336+O1337)/(K1334+K1335+K1336+K1337)*100</f>
        <v>38.75</v>
      </c>
    </row>
    <row r="1335" ht="13.5" customHeight="1" spans="1:19">
      <c r="A1335" s="4" t="s">
        <v>86</v>
      </c>
      <c r="B1335" s="3">
        <v>1097</v>
      </c>
      <c r="C1335" s="3">
        <v>6679</v>
      </c>
      <c r="D1335" s="3">
        <v>0.1</v>
      </c>
      <c r="E1335" s="4" t="s">
        <v>22</v>
      </c>
      <c r="F1335" s="4" t="s">
        <v>157</v>
      </c>
      <c r="G1335" s="4" t="s">
        <v>158</v>
      </c>
      <c r="H1335" s="4" t="s">
        <v>40</v>
      </c>
      <c r="I1335" s="4" t="s">
        <v>26</v>
      </c>
      <c r="J1335" s="3">
        <v>2</v>
      </c>
      <c r="K1335" s="3">
        <v>20</v>
      </c>
      <c r="L1335" s="3">
        <v>8</v>
      </c>
      <c r="M1335" s="3">
        <v>4</v>
      </c>
      <c r="N1335" s="3">
        <v>8</v>
      </c>
      <c r="O1335" s="3">
        <v>0</v>
      </c>
      <c r="P1335" s="3">
        <f t="shared" si="0"/>
        <v>0</v>
      </c>
      <c r="Q1335" s="3">
        <f t="shared" si="1"/>
        <v>66.6666666666667</v>
      </c>
      <c r="R1335" s="3">
        <f t="shared" si="2"/>
        <v>0</v>
      </c>
      <c r="S1335" s="11"/>
    </row>
    <row r="1336" ht="13.5" customHeight="1" spans="1:19">
      <c r="A1336" s="4" t="s">
        <v>86</v>
      </c>
      <c r="B1336" s="3">
        <v>1097</v>
      </c>
      <c r="C1336" s="3">
        <v>6679</v>
      </c>
      <c r="D1336" s="3">
        <v>0.1</v>
      </c>
      <c r="E1336" s="4" t="s">
        <v>22</v>
      </c>
      <c r="F1336" s="4" t="s">
        <v>157</v>
      </c>
      <c r="G1336" s="4" t="s">
        <v>158</v>
      </c>
      <c r="H1336" s="4" t="s">
        <v>40</v>
      </c>
      <c r="I1336" s="4" t="s">
        <v>26</v>
      </c>
      <c r="J1336" s="3">
        <v>3</v>
      </c>
      <c r="K1336" s="3">
        <v>20</v>
      </c>
      <c r="L1336" s="3">
        <v>8</v>
      </c>
      <c r="M1336" s="3">
        <v>6</v>
      </c>
      <c r="N1336" s="3">
        <v>6</v>
      </c>
      <c r="O1336" s="3">
        <v>0</v>
      </c>
      <c r="P1336" s="3">
        <f t="shared" si="0"/>
        <v>0</v>
      </c>
      <c r="Q1336" s="3">
        <f t="shared" si="1"/>
        <v>57.1428571428571</v>
      </c>
      <c r="R1336" s="3">
        <f t="shared" si="2"/>
        <v>0</v>
      </c>
      <c r="S1336" s="11"/>
    </row>
    <row r="1337" ht="13.5" customHeight="1" spans="1:19">
      <c r="A1337" s="4" t="s">
        <v>86</v>
      </c>
      <c r="B1337" s="3">
        <v>1097</v>
      </c>
      <c r="C1337" s="3">
        <v>6679</v>
      </c>
      <c r="D1337" s="3">
        <v>0.1</v>
      </c>
      <c r="E1337" s="4" t="s">
        <v>22</v>
      </c>
      <c r="F1337" s="4" t="s">
        <v>157</v>
      </c>
      <c r="G1337" s="4" t="s">
        <v>158</v>
      </c>
      <c r="H1337" s="4" t="s">
        <v>40</v>
      </c>
      <c r="I1337" s="4" t="s">
        <v>26</v>
      </c>
      <c r="J1337" s="3">
        <v>4</v>
      </c>
      <c r="K1337" s="3">
        <v>20</v>
      </c>
      <c r="L1337" s="3">
        <v>7</v>
      </c>
      <c r="M1337" s="3">
        <v>4</v>
      </c>
      <c r="N1337" s="3">
        <v>9</v>
      </c>
      <c r="O1337" s="3">
        <v>0</v>
      </c>
      <c r="P1337" s="3">
        <f t="shared" si="0"/>
        <v>0</v>
      </c>
      <c r="Q1337" s="3">
        <f t="shared" si="1"/>
        <v>63.6363636363636</v>
      </c>
      <c r="R1337" s="3">
        <f t="shared" si="2"/>
        <v>0</v>
      </c>
      <c r="S1337" s="11"/>
    </row>
    <row r="1338" ht="13.5" customHeight="1" spans="1:21">
      <c r="A1338" s="4" t="s">
        <v>66</v>
      </c>
      <c r="B1338" s="3">
        <v>1153</v>
      </c>
      <c r="C1338" s="3">
        <v>7684</v>
      </c>
      <c r="D1338" s="3">
        <v>1</v>
      </c>
      <c r="E1338" s="4" t="s">
        <v>33</v>
      </c>
      <c r="F1338" s="4" t="s">
        <v>178</v>
      </c>
      <c r="G1338" s="3" t="s">
        <v>179</v>
      </c>
      <c r="H1338" s="4" t="s">
        <v>134</v>
      </c>
      <c r="I1338" s="4" t="s">
        <v>26</v>
      </c>
      <c r="J1338" s="3">
        <v>1</v>
      </c>
      <c r="K1338" s="3">
        <v>20</v>
      </c>
      <c r="L1338" s="3">
        <v>2</v>
      </c>
      <c r="M1338" s="3">
        <v>7</v>
      </c>
      <c r="N1338" s="3">
        <v>2</v>
      </c>
      <c r="O1338" s="3">
        <v>9</v>
      </c>
      <c r="P1338" s="3">
        <f t="shared" si="0"/>
        <v>0</v>
      </c>
      <c r="Q1338" s="3">
        <f t="shared" si="1"/>
        <v>11.1111111111111</v>
      </c>
      <c r="R1338" s="3">
        <f t="shared" si="2"/>
        <v>50</v>
      </c>
      <c r="S1338" s="11">
        <f>AVERAGE(Q1338:Q1341)</f>
        <v>29.0277777777778</v>
      </c>
      <c r="T1338" s="7">
        <f>AVERAGE(R1338:R1341)</f>
        <v>41.25</v>
      </c>
      <c r="U1338" s="8">
        <f>(L1338+L1339+L1340+L1341+O1338+O1339+O1340+O1341)/(K1338+K1339+K1340+K1341)*100</f>
        <v>68.75</v>
      </c>
    </row>
    <row r="1339" ht="13.5" customHeight="1" spans="1:19">
      <c r="A1339" s="4" t="s">
        <v>66</v>
      </c>
      <c r="B1339" s="3">
        <v>1153</v>
      </c>
      <c r="C1339" s="3">
        <v>7684</v>
      </c>
      <c r="D1339" s="3">
        <v>1</v>
      </c>
      <c r="E1339" s="4" t="s">
        <v>33</v>
      </c>
      <c r="F1339" s="4" t="s">
        <v>178</v>
      </c>
      <c r="G1339" s="3" t="s">
        <v>179</v>
      </c>
      <c r="H1339" s="4" t="s">
        <v>134</v>
      </c>
      <c r="I1339" s="4" t="s">
        <v>26</v>
      </c>
      <c r="J1339" s="3">
        <v>2</v>
      </c>
      <c r="K1339" s="3">
        <v>20</v>
      </c>
      <c r="L1339" s="3">
        <v>8</v>
      </c>
      <c r="M1339" s="3">
        <v>5</v>
      </c>
      <c r="N1339" s="3">
        <v>0</v>
      </c>
      <c r="O1339" s="3">
        <v>7</v>
      </c>
      <c r="P1339" s="3">
        <f t="shared" si="0"/>
        <v>0</v>
      </c>
      <c r="Q1339" s="3">
        <f t="shared" si="1"/>
        <v>40</v>
      </c>
      <c r="R1339" s="3">
        <f t="shared" si="2"/>
        <v>35</v>
      </c>
      <c r="S1339" s="11"/>
    </row>
    <row r="1340" ht="13.5" customHeight="1" spans="1:19">
      <c r="A1340" s="4" t="s">
        <v>66</v>
      </c>
      <c r="B1340" s="3">
        <v>1153</v>
      </c>
      <c r="C1340" s="3">
        <v>7684</v>
      </c>
      <c r="D1340" s="3">
        <v>1</v>
      </c>
      <c r="E1340" s="4" t="s">
        <v>33</v>
      </c>
      <c r="F1340" s="4" t="s">
        <v>178</v>
      </c>
      <c r="G1340" s="3" t="s">
        <v>179</v>
      </c>
      <c r="H1340" s="4" t="s">
        <v>134</v>
      </c>
      <c r="I1340" s="4" t="s">
        <v>26</v>
      </c>
      <c r="J1340" s="3">
        <v>3</v>
      </c>
      <c r="K1340" s="3">
        <v>20</v>
      </c>
      <c r="L1340" s="3">
        <v>7</v>
      </c>
      <c r="M1340" s="3">
        <v>5</v>
      </c>
      <c r="N1340" s="3">
        <v>0</v>
      </c>
      <c r="O1340" s="3">
        <v>8</v>
      </c>
      <c r="P1340" s="3">
        <f t="shared" si="0"/>
        <v>0</v>
      </c>
      <c r="Q1340" s="3">
        <f t="shared" si="1"/>
        <v>35</v>
      </c>
      <c r="R1340" s="3">
        <f t="shared" si="2"/>
        <v>40</v>
      </c>
      <c r="S1340" s="11"/>
    </row>
    <row r="1341" ht="13.5" customHeight="1" spans="1:19">
      <c r="A1341" s="4" t="s">
        <v>66</v>
      </c>
      <c r="B1341" s="3">
        <v>1153</v>
      </c>
      <c r="C1341" s="3">
        <v>7684</v>
      </c>
      <c r="D1341" s="3">
        <v>1</v>
      </c>
      <c r="E1341" s="4" t="s">
        <v>33</v>
      </c>
      <c r="F1341" s="4" t="s">
        <v>178</v>
      </c>
      <c r="G1341" s="3" t="s">
        <v>179</v>
      </c>
      <c r="H1341" s="4" t="s">
        <v>134</v>
      </c>
      <c r="I1341" s="4" t="s">
        <v>26</v>
      </c>
      <c r="J1341" s="3">
        <v>4</v>
      </c>
      <c r="K1341" s="3">
        <v>20</v>
      </c>
      <c r="L1341" s="3">
        <v>6</v>
      </c>
      <c r="M1341" s="3">
        <v>6</v>
      </c>
      <c r="N1341" s="3">
        <v>0</v>
      </c>
      <c r="O1341" s="3">
        <v>8</v>
      </c>
      <c r="P1341" s="3">
        <f t="shared" si="0"/>
        <v>0</v>
      </c>
      <c r="Q1341" s="3">
        <f t="shared" si="1"/>
        <v>30</v>
      </c>
      <c r="R1341" s="3">
        <f t="shared" si="2"/>
        <v>40</v>
      </c>
      <c r="S1341" s="11"/>
    </row>
    <row r="1342" ht="13.5" customHeight="1" spans="1:21">
      <c r="A1342" s="4" t="s">
        <v>118</v>
      </c>
      <c r="B1342" s="3">
        <v>1138</v>
      </c>
      <c r="C1342" s="3">
        <v>7122</v>
      </c>
      <c r="D1342" s="3">
        <v>0.1</v>
      </c>
      <c r="E1342" s="4" t="s">
        <v>22</v>
      </c>
      <c r="F1342" s="4" t="s">
        <v>176</v>
      </c>
      <c r="G1342" s="3" t="s">
        <v>177</v>
      </c>
      <c r="H1342" s="4" t="s">
        <v>25</v>
      </c>
      <c r="I1342" s="4" t="s">
        <v>26</v>
      </c>
      <c r="J1342" s="3">
        <v>1</v>
      </c>
      <c r="K1342" s="3">
        <v>25</v>
      </c>
      <c r="L1342" s="3">
        <v>15</v>
      </c>
      <c r="M1342" s="3">
        <v>3</v>
      </c>
      <c r="N1342" s="3">
        <v>7</v>
      </c>
      <c r="O1342" s="3">
        <v>0</v>
      </c>
      <c r="P1342" s="3">
        <f t="shared" si="0"/>
        <v>0</v>
      </c>
      <c r="Q1342" s="3">
        <f t="shared" si="1"/>
        <v>83.3333333333333</v>
      </c>
      <c r="R1342" s="3">
        <f t="shared" si="2"/>
        <v>0</v>
      </c>
      <c r="S1342" s="11">
        <f>AVERAGE(Q1342:Q1345)</f>
        <v>94.8333333333333</v>
      </c>
      <c r="T1342" s="7">
        <f>AVERAGE(R1342:R1345)</f>
        <v>0</v>
      </c>
      <c r="U1342" s="8">
        <f>(L1342+L1343+L1344+L1345+O1342+O1343+O1344+O1345)/(K1342+K1343+K1344+K1345)*100</f>
        <v>78</v>
      </c>
    </row>
    <row r="1343" ht="13.5" customHeight="1" spans="1:19">
      <c r="A1343" s="4" t="s">
        <v>118</v>
      </c>
      <c r="B1343" s="3">
        <v>1138</v>
      </c>
      <c r="C1343" s="3">
        <v>7122</v>
      </c>
      <c r="D1343" s="3">
        <v>0.1</v>
      </c>
      <c r="E1343" s="4" t="s">
        <v>22</v>
      </c>
      <c r="F1343" s="4" t="s">
        <v>176</v>
      </c>
      <c r="G1343" s="3" t="s">
        <v>177</v>
      </c>
      <c r="H1343" s="4" t="s">
        <v>25</v>
      </c>
      <c r="I1343" s="4" t="s">
        <v>26</v>
      </c>
      <c r="J1343" s="3">
        <v>2</v>
      </c>
      <c r="K1343" s="3">
        <v>25</v>
      </c>
      <c r="L1343" s="3">
        <v>15</v>
      </c>
      <c r="M1343" s="3">
        <v>0</v>
      </c>
      <c r="N1343" s="3">
        <v>10</v>
      </c>
      <c r="O1343" s="3">
        <v>0</v>
      </c>
      <c r="P1343" s="3">
        <f t="shared" si="0"/>
        <v>0</v>
      </c>
      <c r="Q1343" s="3">
        <f t="shared" si="1"/>
        <v>100</v>
      </c>
      <c r="R1343" s="3">
        <f t="shared" si="2"/>
        <v>0</v>
      </c>
      <c r="S1343" s="11"/>
    </row>
    <row r="1344" ht="13.5" customHeight="1" spans="1:19">
      <c r="A1344" s="4" t="s">
        <v>118</v>
      </c>
      <c r="B1344" s="3">
        <v>1138</v>
      </c>
      <c r="C1344" s="3">
        <v>7122</v>
      </c>
      <c r="D1344" s="3">
        <v>0.1</v>
      </c>
      <c r="E1344" s="4" t="s">
        <v>22</v>
      </c>
      <c r="F1344" s="4" t="s">
        <v>176</v>
      </c>
      <c r="G1344" s="3" t="s">
        <v>177</v>
      </c>
      <c r="H1344" s="4" t="s">
        <v>25</v>
      </c>
      <c r="I1344" s="4" t="s">
        <v>26</v>
      </c>
      <c r="J1344" s="3">
        <v>3</v>
      </c>
      <c r="K1344" s="3">
        <v>25</v>
      </c>
      <c r="L1344" s="3">
        <v>24</v>
      </c>
      <c r="M1344" s="3">
        <v>0</v>
      </c>
      <c r="N1344" s="3">
        <v>1</v>
      </c>
      <c r="O1344" s="3">
        <v>0</v>
      </c>
      <c r="P1344" s="3">
        <f t="shared" si="0"/>
        <v>0</v>
      </c>
      <c r="Q1344" s="3">
        <f t="shared" si="1"/>
        <v>100</v>
      </c>
      <c r="R1344" s="3">
        <f t="shared" si="2"/>
        <v>0</v>
      </c>
      <c r="S1344" s="11"/>
    </row>
    <row r="1345" ht="13.5" customHeight="1" spans="1:19">
      <c r="A1345" s="4" t="s">
        <v>118</v>
      </c>
      <c r="B1345" s="3">
        <v>1138</v>
      </c>
      <c r="C1345" s="3">
        <v>7122</v>
      </c>
      <c r="D1345" s="3">
        <v>0.1</v>
      </c>
      <c r="E1345" s="4" t="s">
        <v>22</v>
      </c>
      <c r="F1345" s="4" t="s">
        <v>176</v>
      </c>
      <c r="G1345" s="3" t="s">
        <v>177</v>
      </c>
      <c r="H1345" s="4" t="s">
        <v>25</v>
      </c>
      <c r="I1345" s="4" t="s">
        <v>26</v>
      </c>
      <c r="J1345" s="3">
        <v>4</v>
      </c>
      <c r="K1345" s="3">
        <v>25</v>
      </c>
      <c r="L1345" s="3">
        <v>24</v>
      </c>
      <c r="M1345" s="3">
        <v>1</v>
      </c>
      <c r="N1345" s="3">
        <v>0</v>
      </c>
      <c r="O1345" s="3">
        <v>0</v>
      </c>
      <c r="P1345" s="3">
        <f t="shared" si="0"/>
        <v>0</v>
      </c>
      <c r="Q1345" s="3">
        <f t="shared" si="1"/>
        <v>96</v>
      </c>
      <c r="R1345" s="3">
        <f t="shared" si="2"/>
        <v>0</v>
      </c>
      <c r="S1345" s="11"/>
    </row>
    <row r="1346" ht="13.5" customHeight="1" spans="1:21">
      <c r="A1346" s="4" t="s">
        <v>91</v>
      </c>
      <c r="B1346" s="3">
        <v>1007</v>
      </c>
      <c r="C1346" s="3">
        <v>4939</v>
      </c>
      <c r="D1346" s="3">
        <v>4</v>
      </c>
      <c r="E1346" s="4" t="s">
        <v>52</v>
      </c>
      <c r="F1346" s="4" t="s">
        <v>183</v>
      </c>
      <c r="G1346" s="3" t="s">
        <v>190</v>
      </c>
      <c r="H1346" s="4" t="s">
        <v>40</v>
      </c>
      <c r="I1346" s="4" t="s">
        <v>26</v>
      </c>
      <c r="J1346" s="3">
        <v>1</v>
      </c>
      <c r="K1346" s="3">
        <v>25</v>
      </c>
      <c r="L1346" s="3">
        <v>23</v>
      </c>
      <c r="M1346" s="3">
        <v>2</v>
      </c>
      <c r="N1346" s="3">
        <v>0</v>
      </c>
      <c r="O1346" s="3">
        <v>0</v>
      </c>
      <c r="P1346" s="3">
        <f t="shared" si="0"/>
        <v>0</v>
      </c>
      <c r="Q1346" s="3">
        <f t="shared" si="1"/>
        <v>92</v>
      </c>
      <c r="R1346" s="3">
        <f t="shared" si="2"/>
        <v>0</v>
      </c>
      <c r="S1346" s="11">
        <f>AVERAGE(Q1346:Q1349)</f>
        <v>86</v>
      </c>
      <c r="T1346" s="7">
        <f>AVERAGE(R1346:R1349)</f>
        <v>0</v>
      </c>
      <c r="U1346" s="8">
        <f>(L1346+L1347+L1348+L1349+O1346+O1347+O1348+O1349)/(K1346+K1347+K1348+K1349)*100</f>
        <v>86</v>
      </c>
    </row>
    <row r="1347" ht="13.5" customHeight="1" spans="1:19">
      <c r="A1347" s="4" t="s">
        <v>91</v>
      </c>
      <c r="B1347" s="3">
        <v>1007</v>
      </c>
      <c r="C1347" s="3">
        <v>4939</v>
      </c>
      <c r="D1347" s="3">
        <v>4</v>
      </c>
      <c r="E1347" s="4" t="s">
        <v>52</v>
      </c>
      <c r="F1347" s="4" t="s">
        <v>183</v>
      </c>
      <c r="G1347" s="3" t="s">
        <v>190</v>
      </c>
      <c r="H1347" s="4" t="s">
        <v>40</v>
      </c>
      <c r="I1347" s="4" t="s">
        <v>26</v>
      </c>
      <c r="J1347" s="3">
        <v>2</v>
      </c>
      <c r="K1347" s="3">
        <v>25</v>
      </c>
      <c r="L1347" s="3">
        <v>19</v>
      </c>
      <c r="M1347" s="3">
        <v>6</v>
      </c>
      <c r="N1347" s="3">
        <v>0</v>
      </c>
      <c r="O1347" s="3">
        <v>0</v>
      </c>
      <c r="P1347" s="3">
        <f t="shared" si="0"/>
        <v>0</v>
      </c>
      <c r="Q1347" s="3">
        <f t="shared" si="1"/>
        <v>76</v>
      </c>
      <c r="R1347" s="3">
        <f t="shared" si="2"/>
        <v>0</v>
      </c>
      <c r="S1347" s="11"/>
    </row>
    <row r="1348" ht="13.5" customHeight="1" spans="1:19">
      <c r="A1348" s="4" t="s">
        <v>91</v>
      </c>
      <c r="B1348" s="3">
        <v>1007</v>
      </c>
      <c r="C1348" s="3">
        <v>4939</v>
      </c>
      <c r="D1348" s="3">
        <v>4</v>
      </c>
      <c r="E1348" s="4" t="s">
        <v>52</v>
      </c>
      <c r="F1348" s="4" t="s">
        <v>183</v>
      </c>
      <c r="G1348" s="3" t="s">
        <v>190</v>
      </c>
      <c r="H1348" s="4" t="s">
        <v>40</v>
      </c>
      <c r="I1348" s="4" t="s">
        <v>26</v>
      </c>
      <c r="J1348" s="3">
        <v>3</v>
      </c>
      <c r="K1348" s="3">
        <v>25</v>
      </c>
      <c r="L1348" s="3">
        <v>20</v>
      </c>
      <c r="M1348" s="3">
        <v>5</v>
      </c>
      <c r="N1348" s="3">
        <v>0</v>
      </c>
      <c r="O1348" s="3">
        <v>0</v>
      </c>
      <c r="P1348" s="3">
        <f t="shared" si="0"/>
        <v>0</v>
      </c>
      <c r="Q1348" s="3">
        <f t="shared" si="1"/>
        <v>80</v>
      </c>
      <c r="R1348" s="3">
        <f t="shared" si="2"/>
        <v>0</v>
      </c>
      <c r="S1348" s="11"/>
    </row>
    <row r="1349" ht="13.5" customHeight="1" spans="1:19">
      <c r="A1349" s="4" t="s">
        <v>91</v>
      </c>
      <c r="B1349" s="3">
        <v>1007</v>
      </c>
      <c r="C1349" s="3">
        <v>4939</v>
      </c>
      <c r="D1349" s="3">
        <v>4</v>
      </c>
      <c r="E1349" s="4" t="s">
        <v>52</v>
      </c>
      <c r="F1349" s="4" t="s">
        <v>183</v>
      </c>
      <c r="G1349" s="3" t="s">
        <v>190</v>
      </c>
      <c r="H1349" s="4" t="s">
        <v>40</v>
      </c>
      <c r="I1349" s="4" t="s">
        <v>26</v>
      </c>
      <c r="J1349" s="3">
        <v>4</v>
      </c>
      <c r="K1349" s="3">
        <v>25</v>
      </c>
      <c r="L1349" s="3">
        <v>24</v>
      </c>
      <c r="M1349" s="3">
        <v>1</v>
      </c>
      <c r="N1349" s="3">
        <v>0</v>
      </c>
      <c r="O1349" s="3">
        <v>0</v>
      </c>
      <c r="P1349" s="3">
        <f t="shared" si="0"/>
        <v>0</v>
      </c>
      <c r="Q1349" s="3">
        <f t="shared" si="1"/>
        <v>96</v>
      </c>
      <c r="R1349" s="3">
        <f t="shared" si="2"/>
        <v>0</v>
      </c>
      <c r="S1349" s="11"/>
    </row>
    <row r="1350" ht="13.5" customHeight="1" spans="1:21">
      <c r="A1350" s="4" t="s">
        <v>121</v>
      </c>
      <c r="B1350" s="3">
        <v>1017</v>
      </c>
      <c r="C1350" s="3">
        <v>5556</v>
      </c>
      <c r="D1350" s="3">
        <v>0.1</v>
      </c>
      <c r="E1350" s="4" t="s">
        <v>182</v>
      </c>
      <c r="F1350" s="4" t="s">
        <v>183</v>
      </c>
      <c r="G1350" s="3" t="s">
        <v>184</v>
      </c>
      <c r="H1350" s="4" t="s">
        <v>40</v>
      </c>
      <c r="I1350" s="4" t="s">
        <v>26</v>
      </c>
      <c r="J1350" s="3">
        <v>1</v>
      </c>
      <c r="K1350" s="3">
        <v>25</v>
      </c>
      <c r="L1350" s="3">
        <v>21</v>
      </c>
      <c r="M1350" s="3">
        <v>4</v>
      </c>
      <c r="N1350" s="3">
        <v>0</v>
      </c>
      <c r="O1350" s="3">
        <v>0</v>
      </c>
      <c r="P1350" s="3">
        <f t="shared" si="0"/>
        <v>0</v>
      </c>
      <c r="Q1350" s="3">
        <f t="shared" si="1"/>
        <v>84</v>
      </c>
      <c r="R1350" s="3">
        <f t="shared" si="2"/>
        <v>0</v>
      </c>
      <c r="S1350" s="11">
        <f>AVERAGE(Q1350:Q1353)</f>
        <v>89.7766798418972</v>
      </c>
      <c r="T1350" s="7">
        <f>AVERAGE(R1350:R1353)</f>
        <v>0</v>
      </c>
      <c r="U1350" s="8">
        <f>(L1350+L1351+L1352+L1353+O1350+O1351+O1352+O1353)/(K1350+K1351+K1352+K1353)*100</f>
        <v>85</v>
      </c>
    </row>
    <row r="1351" ht="13.5" customHeight="1" spans="1:19">
      <c r="A1351" s="4" t="s">
        <v>121</v>
      </c>
      <c r="B1351" s="3">
        <v>1017</v>
      </c>
      <c r="C1351" s="3">
        <v>5556</v>
      </c>
      <c r="D1351" s="3">
        <v>0.1</v>
      </c>
      <c r="E1351" s="4" t="s">
        <v>182</v>
      </c>
      <c r="F1351" s="4" t="s">
        <v>183</v>
      </c>
      <c r="G1351" s="3" t="s">
        <v>184</v>
      </c>
      <c r="H1351" s="4" t="s">
        <v>40</v>
      </c>
      <c r="I1351" s="4" t="s">
        <v>26</v>
      </c>
      <c r="J1351" s="3">
        <v>2</v>
      </c>
      <c r="K1351" s="3">
        <v>25</v>
      </c>
      <c r="L1351" s="3">
        <v>21</v>
      </c>
      <c r="M1351" s="3">
        <v>4</v>
      </c>
      <c r="N1351" s="3">
        <v>0</v>
      </c>
      <c r="O1351" s="3">
        <v>0</v>
      </c>
      <c r="P1351" s="3">
        <f t="shared" si="0"/>
        <v>0</v>
      </c>
      <c r="Q1351" s="3">
        <f t="shared" si="1"/>
        <v>84</v>
      </c>
      <c r="R1351" s="3">
        <f t="shared" si="2"/>
        <v>0</v>
      </c>
      <c r="S1351" s="11"/>
    </row>
    <row r="1352" ht="13.5" customHeight="1" spans="1:19">
      <c r="A1352" s="4" t="s">
        <v>121</v>
      </c>
      <c r="B1352" s="3">
        <v>1017</v>
      </c>
      <c r="C1352" s="3">
        <v>5556</v>
      </c>
      <c r="D1352" s="3">
        <v>0.1</v>
      </c>
      <c r="E1352" s="4" t="s">
        <v>182</v>
      </c>
      <c r="F1352" s="4" t="s">
        <v>183</v>
      </c>
      <c r="G1352" s="3" t="s">
        <v>184</v>
      </c>
      <c r="H1352" s="4" t="s">
        <v>40</v>
      </c>
      <c r="I1352" s="4" t="s">
        <v>26</v>
      </c>
      <c r="J1352" s="3">
        <v>3</v>
      </c>
      <c r="K1352" s="3">
        <v>25</v>
      </c>
      <c r="L1352" s="3">
        <v>22</v>
      </c>
      <c r="M1352" s="3">
        <v>1</v>
      </c>
      <c r="N1352" s="3">
        <v>2</v>
      </c>
      <c r="O1352" s="3">
        <v>0</v>
      </c>
      <c r="P1352" s="3">
        <f t="shared" si="0"/>
        <v>0</v>
      </c>
      <c r="Q1352" s="3">
        <f t="shared" si="1"/>
        <v>95.6521739130435</v>
      </c>
      <c r="R1352" s="3">
        <f t="shared" si="2"/>
        <v>0</v>
      </c>
      <c r="S1352" s="11"/>
    </row>
    <row r="1353" ht="13.5" customHeight="1" spans="1:19">
      <c r="A1353" s="4" t="s">
        <v>121</v>
      </c>
      <c r="B1353" s="3">
        <v>1017</v>
      </c>
      <c r="C1353" s="3">
        <v>5556</v>
      </c>
      <c r="D1353" s="3">
        <v>0.1</v>
      </c>
      <c r="E1353" s="4" t="s">
        <v>182</v>
      </c>
      <c r="F1353" s="4" t="s">
        <v>183</v>
      </c>
      <c r="G1353" s="3" t="s">
        <v>184</v>
      </c>
      <c r="H1353" s="4" t="s">
        <v>40</v>
      </c>
      <c r="I1353" s="4" t="s">
        <v>26</v>
      </c>
      <c r="J1353" s="3">
        <v>4</v>
      </c>
      <c r="K1353" s="3">
        <v>25</v>
      </c>
      <c r="L1353" s="3">
        <v>21</v>
      </c>
      <c r="M1353" s="3">
        <v>1</v>
      </c>
      <c r="N1353" s="3">
        <v>3</v>
      </c>
      <c r="O1353" s="3">
        <v>0</v>
      </c>
      <c r="P1353" s="3">
        <f t="shared" si="0"/>
        <v>0</v>
      </c>
      <c r="Q1353" s="3">
        <f t="shared" si="1"/>
        <v>95.4545454545455</v>
      </c>
      <c r="R1353" s="3">
        <f t="shared" si="2"/>
        <v>0</v>
      </c>
      <c r="S1353" s="11"/>
    </row>
    <row r="1354" ht="13.5" customHeight="1" spans="1:21">
      <c r="A1354" s="4" t="s">
        <v>120</v>
      </c>
      <c r="B1354" s="3">
        <v>1147</v>
      </c>
      <c r="C1354" s="3">
        <v>7497</v>
      </c>
      <c r="D1354" s="3">
        <v>0.1</v>
      </c>
      <c r="E1354" s="4" t="s">
        <v>22</v>
      </c>
      <c r="F1354" s="4" t="s">
        <v>176</v>
      </c>
      <c r="G1354" s="3" t="s">
        <v>177</v>
      </c>
      <c r="H1354" s="4" t="s">
        <v>25</v>
      </c>
      <c r="I1354" s="4" t="s">
        <v>26</v>
      </c>
      <c r="J1354" s="3">
        <v>1</v>
      </c>
      <c r="K1354" s="3">
        <v>25</v>
      </c>
      <c r="L1354" s="3">
        <v>22</v>
      </c>
      <c r="M1354" s="3">
        <v>0</v>
      </c>
      <c r="N1354" s="3">
        <v>3</v>
      </c>
      <c r="O1354" s="3">
        <v>0</v>
      </c>
      <c r="P1354" s="3">
        <f t="shared" si="0"/>
        <v>0</v>
      </c>
      <c r="Q1354" s="3">
        <f t="shared" si="1"/>
        <v>100</v>
      </c>
      <c r="R1354" s="3">
        <f t="shared" si="2"/>
        <v>0</v>
      </c>
      <c r="S1354" s="11">
        <f>AVERAGE(Q1354:Q1357)</f>
        <v>100</v>
      </c>
      <c r="T1354" s="7">
        <f>AVERAGE(R1354:R1357)</f>
        <v>0</v>
      </c>
      <c r="U1354" s="8">
        <f>(L1354+L1355+L1356+L1357+O1354+O1355+O1356+O1357)/(K1354+K1355+K1356+K1357)*100</f>
        <v>95</v>
      </c>
    </row>
    <row r="1355" ht="13.5" customHeight="1" spans="1:19">
      <c r="A1355" s="4" t="s">
        <v>120</v>
      </c>
      <c r="B1355" s="3">
        <v>1147</v>
      </c>
      <c r="C1355" s="3">
        <v>7497</v>
      </c>
      <c r="D1355" s="3">
        <v>0.1</v>
      </c>
      <c r="E1355" s="4" t="s">
        <v>22</v>
      </c>
      <c r="F1355" s="4" t="s">
        <v>176</v>
      </c>
      <c r="G1355" s="3" t="s">
        <v>177</v>
      </c>
      <c r="H1355" s="4" t="s">
        <v>25</v>
      </c>
      <c r="I1355" s="4" t="s">
        <v>26</v>
      </c>
      <c r="J1355" s="3">
        <v>2</v>
      </c>
      <c r="K1355" s="3">
        <v>25</v>
      </c>
      <c r="L1355" s="3">
        <v>25</v>
      </c>
      <c r="M1355" s="3">
        <v>0</v>
      </c>
      <c r="N1355" s="3">
        <v>0</v>
      </c>
      <c r="O1355" s="3">
        <v>0</v>
      </c>
      <c r="P1355" s="3">
        <f t="shared" si="0"/>
        <v>0</v>
      </c>
      <c r="Q1355" s="3">
        <f t="shared" si="1"/>
        <v>100</v>
      </c>
      <c r="R1355" s="3">
        <f t="shared" si="2"/>
        <v>0</v>
      </c>
      <c r="S1355" s="11"/>
    </row>
    <row r="1356" ht="13.5" customHeight="1" spans="1:19">
      <c r="A1356" s="4" t="s">
        <v>120</v>
      </c>
      <c r="B1356" s="3">
        <v>1147</v>
      </c>
      <c r="C1356" s="3">
        <v>7497</v>
      </c>
      <c r="D1356" s="3">
        <v>0.1</v>
      </c>
      <c r="E1356" s="4" t="s">
        <v>22</v>
      </c>
      <c r="F1356" s="4" t="s">
        <v>176</v>
      </c>
      <c r="G1356" s="3" t="s">
        <v>177</v>
      </c>
      <c r="H1356" s="4" t="s">
        <v>25</v>
      </c>
      <c r="I1356" s="4" t="s">
        <v>26</v>
      </c>
      <c r="J1356" s="3">
        <v>3</v>
      </c>
      <c r="K1356" s="3">
        <v>25</v>
      </c>
      <c r="L1356" s="3">
        <v>24</v>
      </c>
      <c r="M1356" s="3">
        <v>0</v>
      </c>
      <c r="N1356" s="3">
        <v>1</v>
      </c>
      <c r="O1356" s="3">
        <v>0</v>
      </c>
      <c r="P1356" s="3">
        <f t="shared" si="0"/>
        <v>0</v>
      </c>
      <c r="Q1356" s="3">
        <f t="shared" si="1"/>
        <v>100</v>
      </c>
      <c r="R1356" s="3">
        <f t="shared" si="2"/>
        <v>0</v>
      </c>
      <c r="S1356" s="11"/>
    </row>
    <row r="1357" ht="13.5" customHeight="1" spans="1:19">
      <c r="A1357" s="4" t="s">
        <v>120</v>
      </c>
      <c r="B1357" s="3">
        <v>1147</v>
      </c>
      <c r="C1357" s="3">
        <v>7497</v>
      </c>
      <c r="D1357" s="3">
        <v>0.1</v>
      </c>
      <c r="E1357" s="4" t="s">
        <v>22</v>
      </c>
      <c r="F1357" s="4" t="s">
        <v>176</v>
      </c>
      <c r="G1357" s="3" t="s">
        <v>177</v>
      </c>
      <c r="H1357" s="4" t="s">
        <v>25</v>
      </c>
      <c r="I1357" s="4" t="s">
        <v>26</v>
      </c>
      <c r="J1357" s="3">
        <v>4</v>
      </c>
      <c r="K1357" s="3">
        <v>25</v>
      </c>
      <c r="L1357" s="3">
        <v>24</v>
      </c>
      <c r="M1357" s="3">
        <v>0</v>
      </c>
      <c r="N1357" s="3">
        <v>1</v>
      </c>
      <c r="O1357" s="3">
        <v>0</v>
      </c>
      <c r="P1357" s="3">
        <f t="shared" si="0"/>
        <v>0</v>
      </c>
      <c r="Q1357" s="3">
        <f t="shared" si="1"/>
        <v>100</v>
      </c>
      <c r="R1357" s="3">
        <f t="shared" si="2"/>
        <v>0</v>
      </c>
      <c r="S1357" s="11"/>
    </row>
    <row r="1358" ht="13.5" customHeight="1" spans="1:21">
      <c r="A1358" s="4" t="s">
        <v>66</v>
      </c>
      <c r="B1358" s="3">
        <v>1153</v>
      </c>
      <c r="C1358" s="3">
        <v>7684</v>
      </c>
      <c r="D1358" s="3">
        <v>0.1</v>
      </c>
      <c r="E1358" s="4" t="s">
        <v>22</v>
      </c>
      <c r="F1358" s="4" t="s">
        <v>188</v>
      </c>
      <c r="G1358" s="3" t="s">
        <v>160</v>
      </c>
      <c r="H1358" s="4" t="s">
        <v>40</v>
      </c>
      <c r="I1358" s="4" t="s">
        <v>26</v>
      </c>
      <c r="J1358" s="3">
        <v>1</v>
      </c>
      <c r="K1358" s="3">
        <v>25</v>
      </c>
      <c r="L1358" s="3">
        <v>18</v>
      </c>
      <c r="M1358" s="3">
        <v>2</v>
      </c>
      <c r="N1358" s="3">
        <v>5</v>
      </c>
      <c r="O1358" s="3">
        <v>0</v>
      </c>
      <c r="P1358" s="3">
        <f t="shared" si="0"/>
        <v>0</v>
      </c>
      <c r="Q1358" s="3">
        <f t="shared" si="1"/>
        <v>90</v>
      </c>
      <c r="R1358" s="3">
        <f t="shared" si="2"/>
        <v>0</v>
      </c>
      <c r="S1358" s="11">
        <f>AVERAGE(Q1358:Q1361)</f>
        <v>60.4946524064171</v>
      </c>
      <c r="T1358" s="7">
        <f>AVERAGE(R1358:R1361)</f>
        <v>8.06818181818182</v>
      </c>
      <c r="U1358" s="8">
        <f>(L1358+L1359+L1360+L1361+O1358+O1359+O1360+O1361)/(K1358+K1359+K1360+K1361)*100</f>
        <v>48</v>
      </c>
    </row>
    <row r="1359" ht="13.5" customHeight="1" spans="1:19">
      <c r="A1359" s="4" t="s">
        <v>66</v>
      </c>
      <c r="B1359" s="3">
        <v>1153</v>
      </c>
      <c r="C1359" s="3">
        <v>7684</v>
      </c>
      <c r="D1359" s="3">
        <v>0.1</v>
      </c>
      <c r="E1359" s="4" t="s">
        <v>22</v>
      </c>
      <c r="F1359" s="4" t="s">
        <v>188</v>
      </c>
      <c r="G1359" s="3" t="s">
        <v>160</v>
      </c>
      <c r="H1359" s="4" t="s">
        <v>40</v>
      </c>
      <c r="I1359" s="4" t="s">
        <v>26</v>
      </c>
      <c r="J1359" s="3">
        <v>2</v>
      </c>
      <c r="K1359" s="3">
        <v>25</v>
      </c>
      <c r="L1359" s="3">
        <v>12</v>
      </c>
      <c r="M1359" s="3">
        <v>7</v>
      </c>
      <c r="N1359" s="3">
        <v>5</v>
      </c>
      <c r="O1359" s="3">
        <v>1</v>
      </c>
      <c r="P1359" s="3">
        <f t="shared" si="0"/>
        <v>0</v>
      </c>
      <c r="Q1359" s="3">
        <f t="shared" si="1"/>
        <v>60</v>
      </c>
      <c r="R1359" s="3">
        <f t="shared" si="2"/>
        <v>5</v>
      </c>
      <c r="S1359" s="11"/>
    </row>
    <row r="1360" ht="13.5" customHeight="1" spans="1:19">
      <c r="A1360" s="4" t="s">
        <v>66</v>
      </c>
      <c r="B1360" s="3">
        <v>1153</v>
      </c>
      <c r="C1360" s="3">
        <v>7684</v>
      </c>
      <c r="D1360" s="3">
        <v>0.1</v>
      </c>
      <c r="E1360" s="4" t="s">
        <v>22</v>
      </c>
      <c r="F1360" s="4" t="s">
        <v>188</v>
      </c>
      <c r="G1360" s="3" t="s">
        <v>160</v>
      </c>
      <c r="H1360" s="4" t="s">
        <v>40</v>
      </c>
      <c r="I1360" s="4" t="s">
        <v>26</v>
      </c>
      <c r="J1360" s="3">
        <v>3</v>
      </c>
      <c r="K1360" s="3">
        <v>25</v>
      </c>
      <c r="L1360" s="3">
        <v>11</v>
      </c>
      <c r="M1360" s="3">
        <v>6</v>
      </c>
      <c r="N1360" s="3">
        <v>8</v>
      </c>
      <c r="O1360" s="3">
        <v>0</v>
      </c>
      <c r="P1360" s="3">
        <f t="shared" si="0"/>
        <v>0</v>
      </c>
      <c r="Q1360" s="3">
        <f t="shared" si="1"/>
        <v>64.7058823529412</v>
      </c>
      <c r="R1360" s="3">
        <f t="shared" si="2"/>
        <v>0</v>
      </c>
      <c r="S1360" s="11"/>
    </row>
    <row r="1361" ht="13.5" customHeight="1" spans="1:19">
      <c r="A1361" s="4" t="s">
        <v>66</v>
      </c>
      <c r="B1361" s="3">
        <v>1153</v>
      </c>
      <c r="C1361" s="3">
        <v>7684</v>
      </c>
      <c r="D1361" s="3">
        <v>0.1</v>
      </c>
      <c r="E1361" s="4" t="s">
        <v>22</v>
      </c>
      <c r="F1361" s="4" t="s">
        <v>188</v>
      </c>
      <c r="G1361" s="3" t="s">
        <v>160</v>
      </c>
      <c r="H1361" s="4" t="s">
        <v>40</v>
      </c>
      <c r="I1361" s="4" t="s">
        <v>26</v>
      </c>
      <c r="J1361" s="3">
        <v>4</v>
      </c>
      <c r="K1361" s="3">
        <v>25</v>
      </c>
      <c r="L1361" s="3">
        <v>3</v>
      </c>
      <c r="M1361" s="3">
        <v>5</v>
      </c>
      <c r="N1361" s="3">
        <v>14</v>
      </c>
      <c r="O1361" s="3">
        <v>3</v>
      </c>
      <c r="P1361" s="3">
        <f t="shared" si="0"/>
        <v>0</v>
      </c>
      <c r="Q1361" s="3">
        <f t="shared" si="1"/>
        <v>27.2727272727273</v>
      </c>
      <c r="R1361" s="3">
        <f t="shared" si="2"/>
        <v>27.2727272727273</v>
      </c>
      <c r="S1361" s="11"/>
    </row>
    <row r="1362" ht="13.5" customHeight="1" spans="1:21">
      <c r="A1362" s="4" t="s">
        <v>120</v>
      </c>
      <c r="B1362" s="3">
        <v>1147</v>
      </c>
      <c r="C1362" s="3">
        <v>7497</v>
      </c>
      <c r="D1362" s="3">
        <v>1</v>
      </c>
      <c r="E1362" s="4" t="s">
        <v>22</v>
      </c>
      <c r="F1362" s="4" t="s">
        <v>159</v>
      </c>
      <c r="G1362" s="3" t="s">
        <v>160</v>
      </c>
      <c r="H1362" s="4" t="s">
        <v>40</v>
      </c>
      <c r="I1362" s="4" t="s">
        <v>26</v>
      </c>
      <c r="J1362" s="3">
        <v>1</v>
      </c>
      <c r="K1362" s="3">
        <v>25</v>
      </c>
      <c r="L1362" s="3">
        <v>23</v>
      </c>
      <c r="M1362" s="3">
        <v>1</v>
      </c>
      <c r="N1362" s="3">
        <v>1</v>
      </c>
      <c r="O1362" s="3">
        <v>0</v>
      </c>
      <c r="P1362" s="3">
        <f t="shared" si="0"/>
        <v>0</v>
      </c>
      <c r="Q1362" s="3">
        <f t="shared" si="1"/>
        <v>95.8333333333333</v>
      </c>
      <c r="R1362" s="3">
        <f t="shared" si="2"/>
        <v>0</v>
      </c>
      <c r="S1362" s="11">
        <f>AVERAGE(Q1362:Q1365)</f>
        <v>94.9583333333333</v>
      </c>
      <c r="T1362" s="7">
        <f>AVERAGE(R1362:R1365)</f>
        <v>0</v>
      </c>
      <c r="U1362" s="8">
        <f>(L1362+L1363+L1364+L1365+O1362+O1363+O1364+O1365)/(K1362+K1363+K1364+K1365)*100</f>
        <v>94</v>
      </c>
    </row>
    <row r="1363" ht="13.5" customHeight="1" spans="1:19">
      <c r="A1363" s="4" t="s">
        <v>120</v>
      </c>
      <c r="B1363" s="3">
        <v>1147</v>
      </c>
      <c r="C1363" s="3">
        <v>7497</v>
      </c>
      <c r="D1363" s="3">
        <v>1</v>
      </c>
      <c r="E1363" s="4" t="s">
        <v>22</v>
      </c>
      <c r="F1363" s="4" t="s">
        <v>159</v>
      </c>
      <c r="G1363" s="3" t="s">
        <v>160</v>
      </c>
      <c r="H1363" s="4" t="s">
        <v>40</v>
      </c>
      <c r="I1363" s="4" t="s">
        <v>26</v>
      </c>
      <c r="J1363" s="3">
        <v>2</v>
      </c>
      <c r="K1363" s="3">
        <v>25</v>
      </c>
      <c r="L1363" s="3">
        <v>25</v>
      </c>
      <c r="M1363" s="3">
        <v>0</v>
      </c>
      <c r="N1363" s="3">
        <v>0</v>
      </c>
      <c r="O1363" s="3">
        <v>0</v>
      </c>
      <c r="P1363" s="3">
        <f t="shared" si="0"/>
        <v>0</v>
      </c>
      <c r="Q1363" s="3">
        <f t="shared" si="1"/>
        <v>100</v>
      </c>
      <c r="R1363" s="3">
        <f t="shared" si="2"/>
        <v>0</v>
      </c>
      <c r="S1363" s="11"/>
    </row>
    <row r="1364" ht="13.5" customHeight="1" spans="1:19">
      <c r="A1364" s="4" t="s">
        <v>120</v>
      </c>
      <c r="B1364" s="3">
        <v>1147</v>
      </c>
      <c r="C1364" s="3">
        <v>7497</v>
      </c>
      <c r="D1364" s="3">
        <v>1</v>
      </c>
      <c r="E1364" s="4" t="s">
        <v>22</v>
      </c>
      <c r="F1364" s="4" t="s">
        <v>159</v>
      </c>
      <c r="G1364" s="3" t="s">
        <v>160</v>
      </c>
      <c r="H1364" s="4" t="s">
        <v>40</v>
      </c>
      <c r="I1364" s="4" t="s">
        <v>26</v>
      </c>
      <c r="J1364" s="3">
        <v>3</v>
      </c>
      <c r="K1364" s="3">
        <v>25</v>
      </c>
      <c r="L1364" s="3">
        <v>22</v>
      </c>
      <c r="M1364" s="3">
        <v>3</v>
      </c>
      <c r="N1364" s="3">
        <v>0</v>
      </c>
      <c r="O1364" s="3">
        <v>0</v>
      </c>
      <c r="P1364" s="3">
        <f t="shared" si="0"/>
        <v>0</v>
      </c>
      <c r="Q1364" s="3">
        <f t="shared" si="1"/>
        <v>88</v>
      </c>
      <c r="R1364" s="3">
        <f t="shared" si="2"/>
        <v>0</v>
      </c>
      <c r="S1364" s="11"/>
    </row>
    <row r="1365" ht="13.5" customHeight="1" spans="1:19">
      <c r="A1365" s="4" t="s">
        <v>120</v>
      </c>
      <c r="B1365" s="3">
        <v>1147</v>
      </c>
      <c r="C1365" s="3">
        <v>7497</v>
      </c>
      <c r="D1365" s="3">
        <v>1</v>
      </c>
      <c r="E1365" s="4" t="s">
        <v>22</v>
      </c>
      <c r="F1365" s="4" t="s">
        <v>159</v>
      </c>
      <c r="G1365" s="3" t="s">
        <v>160</v>
      </c>
      <c r="H1365" s="4" t="s">
        <v>40</v>
      </c>
      <c r="I1365" s="4" t="s">
        <v>26</v>
      </c>
      <c r="J1365" s="3">
        <v>4</v>
      </c>
      <c r="K1365" s="3">
        <v>25</v>
      </c>
      <c r="L1365" s="3">
        <v>24</v>
      </c>
      <c r="M1365" s="3">
        <v>1</v>
      </c>
      <c r="N1365" s="3">
        <v>0</v>
      </c>
      <c r="O1365" s="3">
        <v>0</v>
      </c>
      <c r="P1365" s="3">
        <f t="shared" si="0"/>
        <v>0</v>
      </c>
      <c r="Q1365" s="3">
        <f t="shared" si="1"/>
        <v>96</v>
      </c>
      <c r="R1365" s="3">
        <f t="shared" si="2"/>
        <v>0</v>
      </c>
      <c r="S1365" s="11"/>
    </row>
    <row r="1366" ht="13.5" customHeight="1" spans="1:21">
      <c r="A1366" s="4" t="s">
        <v>117</v>
      </c>
      <c r="B1366" s="3">
        <v>1001</v>
      </c>
      <c r="C1366" s="3">
        <v>4887</v>
      </c>
      <c r="D1366" s="3">
        <v>3</v>
      </c>
      <c r="E1366" s="4" t="s">
        <v>185</v>
      </c>
      <c r="F1366" s="4" t="s">
        <v>186</v>
      </c>
      <c r="G1366" s="3" t="s">
        <v>187</v>
      </c>
      <c r="H1366" s="4" t="s">
        <v>147</v>
      </c>
      <c r="I1366" s="4" t="s">
        <v>26</v>
      </c>
      <c r="J1366" s="3">
        <v>1</v>
      </c>
      <c r="K1366" s="3">
        <v>25</v>
      </c>
      <c r="L1366" s="3">
        <v>18</v>
      </c>
      <c r="M1366" s="3">
        <v>7</v>
      </c>
      <c r="N1366" s="3">
        <v>0</v>
      </c>
      <c r="O1366" s="3">
        <v>0</v>
      </c>
      <c r="P1366" s="3">
        <f t="shared" si="0"/>
        <v>0</v>
      </c>
      <c r="Q1366" s="3">
        <f t="shared" si="1"/>
        <v>72</v>
      </c>
      <c r="R1366" s="3">
        <f t="shared" si="2"/>
        <v>0</v>
      </c>
      <c r="S1366" s="11">
        <f>AVERAGE(Q1366:Q1369)</f>
        <v>75</v>
      </c>
      <c r="T1366" s="7">
        <f>AVERAGE(R1366:R1369)</f>
        <v>0</v>
      </c>
      <c r="U1366" s="8">
        <f>(L1366+L1367+L1368+L1369+O1366+O1367+O1368+O1369)/(K1366+K1367+K1368+K1369)*100</f>
        <v>75</v>
      </c>
    </row>
    <row r="1367" ht="13.5" customHeight="1" spans="1:19">
      <c r="A1367" s="4" t="s">
        <v>117</v>
      </c>
      <c r="B1367" s="3">
        <v>1001</v>
      </c>
      <c r="C1367" s="3">
        <v>4887</v>
      </c>
      <c r="D1367" s="3">
        <v>3</v>
      </c>
      <c r="E1367" s="4" t="s">
        <v>185</v>
      </c>
      <c r="F1367" s="4" t="s">
        <v>186</v>
      </c>
      <c r="G1367" s="3" t="s">
        <v>187</v>
      </c>
      <c r="H1367" s="4" t="s">
        <v>147</v>
      </c>
      <c r="I1367" s="4" t="s">
        <v>26</v>
      </c>
      <c r="J1367" s="3">
        <v>2</v>
      </c>
      <c r="K1367" s="3">
        <v>25</v>
      </c>
      <c r="L1367" s="3">
        <v>19</v>
      </c>
      <c r="M1367" s="3">
        <v>6</v>
      </c>
      <c r="N1367" s="3">
        <v>0</v>
      </c>
      <c r="O1367" s="3">
        <v>0</v>
      </c>
      <c r="P1367" s="3">
        <f t="shared" si="0"/>
        <v>0</v>
      </c>
      <c r="Q1367" s="3">
        <f t="shared" si="1"/>
        <v>76</v>
      </c>
      <c r="R1367" s="3">
        <f t="shared" si="2"/>
        <v>0</v>
      </c>
      <c r="S1367" s="11"/>
    </row>
    <row r="1368" ht="13.5" customHeight="1" spans="1:19">
      <c r="A1368" s="4" t="s">
        <v>117</v>
      </c>
      <c r="B1368" s="3">
        <v>1001</v>
      </c>
      <c r="C1368" s="3">
        <v>4887</v>
      </c>
      <c r="D1368" s="3">
        <v>3</v>
      </c>
      <c r="E1368" s="4" t="s">
        <v>185</v>
      </c>
      <c r="F1368" s="4" t="s">
        <v>186</v>
      </c>
      <c r="G1368" s="3" t="s">
        <v>187</v>
      </c>
      <c r="H1368" s="4" t="s">
        <v>147</v>
      </c>
      <c r="I1368" s="4" t="s">
        <v>26</v>
      </c>
      <c r="J1368" s="3">
        <v>3</v>
      </c>
      <c r="K1368" s="3">
        <v>25</v>
      </c>
      <c r="L1368" s="3">
        <v>20</v>
      </c>
      <c r="M1368" s="3">
        <v>5</v>
      </c>
      <c r="N1368" s="3">
        <v>0</v>
      </c>
      <c r="O1368" s="3">
        <v>0</v>
      </c>
      <c r="P1368" s="3">
        <f t="shared" si="0"/>
        <v>0</v>
      </c>
      <c r="Q1368" s="3">
        <f t="shared" si="1"/>
        <v>80</v>
      </c>
      <c r="R1368" s="3">
        <f t="shared" si="2"/>
        <v>0</v>
      </c>
      <c r="S1368" s="11"/>
    </row>
    <row r="1369" ht="13.5" customHeight="1" spans="1:19">
      <c r="A1369" s="4" t="s">
        <v>117</v>
      </c>
      <c r="B1369" s="3">
        <v>1001</v>
      </c>
      <c r="C1369" s="3">
        <v>4887</v>
      </c>
      <c r="D1369" s="3">
        <v>3</v>
      </c>
      <c r="E1369" s="4" t="s">
        <v>185</v>
      </c>
      <c r="F1369" s="4" t="s">
        <v>186</v>
      </c>
      <c r="G1369" s="3" t="s">
        <v>187</v>
      </c>
      <c r="H1369" s="4" t="s">
        <v>147</v>
      </c>
      <c r="I1369" s="4" t="s">
        <v>26</v>
      </c>
      <c r="J1369" s="3">
        <v>4</v>
      </c>
      <c r="K1369" s="3">
        <v>25</v>
      </c>
      <c r="L1369" s="3">
        <v>18</v>
      </c>
      <c r="M1369" s="3">
        <v>7</v>
      </c>
      <c r="N1369" s="3">
        <v>0</v>
      </c>
      <c r="O1369" s="3">
        <v>0</v>
      </c>
      <c r="P1369" s="3">
        <f t="shared" si="0"/>
        <v>0</v>
      </c>
      <c r="Q1369" s="3">
        <f t="shared" si="1"/>
        <v>72</v>
      </c>
      <c r="R1369" s="3">
        <f t="shared" si="2"/>
        <v>0</v>
      </c>
      <c r="S1369" s="11"/>
    </row>
    <row r="1370" ht="13.5" customHeight="1" spans="1:21">
      <c r="A1370" s="4" t="s">
        <v>77</v>
      </c>
      <c r="B1370" s="3">
        <v>1746</v>
      </c>
      <c r="C1370" s="3">
        <v>10331</v>
      </c>
      <c r="D1370" s="3">
        <v>1</v>
      </c>
      <c r="E1370" s="4" t="s">
        <v>22</v>
      </c>
      <c r="F1370" s="4" t="s">
        <v>188</v>
      </c>
      <c r="G1370" s="3" t="s">
        <v>189</v>
      </c>
      <c r="H1370" s="4" t="s">
        <v>25</v>
      </c>
      <c r="I1370" s="4" t="s">
        <v>26</v>
      </c>
      <c r="J1370" s="3">
        <v>1</v>
      </c>
      <c r="K1370" s="3">
        <v>25</v>
      </c>
      <c r="L1370" s="3">
        <v>8</v>
      </c>
      <c r="M1370" s="3">
        <v>7</v>
      </c>
      <c r="N1370" s="3">
        <v>0</v>
      </c>
      <c r="O1370" s="3">
        <v>10</v>
      </c>
      <c r="P1370" s="3">
        <f t="shared" si="0"/>
        <v>0</v>
      </c>
      <c r="Q1370" s="3">
        <f t="shared" si="1"/>
        <v>32</v>
      </c>
      <c r="R1370" s="3">
        <f t="shared" si="2"/>
        <v>40</v>
      </c>
      <c r="S1370" s="11">
        <f>AVERAGE(Q1370:Q1373)</f>
        <v>29.4411764705882</v>
      </c>
      <c r="T1370" s="7">
        <f>AVERAGE(R1370:R1373)</f>
        <v>40.9852941176471</v>
      </c>
      <c r="U1370" s="8">
        <f>(L1370+L1371+L1372+L1373+O1370+O1371+O1372+O1373)/(K1370+K1371+K1372+K1373)*100</f>
        <v>62</v>
      </c>
    </row>
    <row r="1371" ht="13.5" customHeight="1" spans="1:19">
      <c r="A1371" s="4" t="s">
        <v>77</v>
      </c>
      <c r="B1371" s="3">
        <v>1746</v>
      </c>
      <c r="C1371" s="3">
        <v>10331</v>
      </c>
      <c r="D1371" s="3">
        <v>1</v>
      </c>
      <c r="E1371" s="4" t="s">
        <v>22</v>
      </c>
      <c r="F1371" s="4" t="s">
        <v>188</v>
      </c>
      <c r="G1371" s="3" t="s">
        <v>189</v>
      </c>
      <c r="H1371" s="4" t="s">
        <v>25</v>
      </c>
      <c r="I1371" s="4" t="s">
        <v>26</v>
      </c>
      <c r="J1371" s="3">
        <v>2</v>
      </c>
      <c r="K1371" s="3">
        <v>25</v>
      </c>
      <c r="L1371" s="3">
        <v>11</v>
      </c>
      <c r="M1371" s="3">
        <v>5</v>
      </c>
      <c r="N1371" s="3">
        <v>0</v>
      </c>
      <c r="O1371" s="3">
        <v>9</v>
      </c>
      <c r="P1371" s="3">
        <f t="shared" si="0"/>
        <v>0</v>
      </c>
      <c r="Q1371" s="3">
        <f t="shared" si="1"/>
        <v>44</v>
      </c>
      <c r="R1371" s="3">
        <f t="shared" si="2"/>
        <v>36</v>
      </c>
      <c r="S1371" s="11"/>
    </row>
    <row r="1372" ht="13.5" customHeight="1" spans="1:19">
      <c r="A1372" s="4" t="s">
        <v>77</v>
      </c>
      <c r="B1372" s="3">
        <v>1746</v>
      </c>
      <c r="C1372" s="3">
        <v>10331</v>
      </c>
      <c r="D1372" s="3">
        <v>1</v>
      </c>
      <c r="E1372" s="4" t="s">
        <v>22</v>
      </c>
      <c r="F1372" s="4" t="s">
        <v>188</v>
      </c>
      <c r="G1372" s="3" t="s">
        <v>189</v>
      </c>
      <c r="H1372" s="4" t="s">
        <v>25</v>
      </c>
      <c r="I1372" s="4" t="s">
        <v>26</v>
      </c>
      <c r="J1372" s="3">
        <v>3</v>
      </c>
      <c r="K1372" s="3">
        <v>25</v>
      </c>
      <c r="L1372" s="3">
        <v>6</v>
      </c>
      <c r="M1372" s="3">
        <v>7</v>
      </c>
      <c r="N1372" s="3">
        <v>5</v>
      </c>
      <c r="O1372" s="3">
        <v>7</v>
      </c>
      <c r="P1372" s="3">
        <f t="shared" si="0"/>
        <v>0</v>
      </c>
      <c r="Q1372" s="3">
        <f t="shared" si="1"/>
        <v>30</v>
      </c>
      <c r="R1372" s="3">
        <f t="shared" si="2"/>
        <v>35</v>
      </c>
      <c r="S1372" s="11"/>
    </row>
    <row r="1373" ht="13.5" customHeight="1" spans="1:19">
      <c r="A1373" s="4" t="s">
        <v>77</v>
      </c>
      <c r="B1373" s="3">
        <v>1746</v>
      </c>
      <c r="C1373" s="3">
        <v>10331</v>
      </c>
      <c r="D1373" s="3">
        <v>1</v>
      </c>
      <c r="E1373" s="4" t="s">
        <v>22</v>
      </c>
      <c r="F1373" s="4" t="s">
        <v>188</v>
      </c>
      <c r="G1373" s="3" t="s">
        <v>189</v>
      </c>
      <c r="H1373" s="4" t="s">
        <v>25</v>
      </c>
      <c r="I1373" s="4" t="s">
        <v>26</v>
      </c>
      <c r="J1373" s="3">
        <v>4</v>
      </c>
      <c r="K1373" s="3">
        <v>25</v>
      </c>
      <c r="L1373" s="3">
        <v>2</v>
      </c>
      <c r="M1373" s="3">
        <v>6</v>
      </c>
      <c r="N1373" s="3">
        <v>8</v>
      </c>
      <c r="O1373" s="3">
        <v>9</v>
      </c>
      <c r="P1373" s="3">
        <f t="shared" si="0"/>
        <v>0</v>
      </c>
      <c r="Q1373" s="3">
        <f t="shared" si="1"/>
        <v>11.7647058823529</v>
      </c>
      <c r="R1373" s="3">
        <f t="shared" si="2"/>
        <v>52.9411764705882</v>
      </c>
      <c r="S1373" s="11"/>
    </row>
    <row r="1374" ht="13.5" customHeight="1" spans="1:21">
      <c r="A1374" s="3" t="s">
        <v>69</v>
      </c>
      <c r="B1374" s="3">
        <v>1940</v>
      </c>
      <c r="C1374" s="3">
        <v>11126</v>
      </c>
      <c r="D1374" s="3">
        <v>0.1</v>
      </c>
      <c r="E1374" s="4" t="s">
        <v>22</v>
      </c>
      <c r="F1374" s="3" t="s">
        <v>119</v>
      </c>
      <c r="G1374" s="4" t="s">
        <v>119</v>
      </c>
      <c r="H1374" s="4" t="s">
        <v>25</v>
      </c>
      <c r="I1374" s="4" t="s">
        <v>156</v>
      </c>
      <c r="J1374" s="3">
        <v>1</v>
      </c>
      <c r="K1374" s="3">
        <v>25</v>
      </c>
      <c r="L1374" s="3">
        <v>25</v>
      </c>
      <c r="M1374" s="3">
        <v>0</v>
      </c>
      <c r="N1374" s="3">
        <v>0</v>
      </c>
      <c r="O1374" s="3">
        <v>0</v>
      </c>
      <c r="P1374" s="3">
        <f t="shared" si="0"/>
        <v>0</v>
      </c>
      <c r="Q1374" s="3">
        <f t="shared" si="1"/>
        <v>100</v>
      </c>
      <c r="R1374" s="3">
        <f t="shared" si="2"/>
        <v>0</v>
      </c>
      <c r="S1374" s="11">
        <f>AVERAGE(Q1374:Q1377)</f>
        <v>99</v>
      </c>
      <c r="T1374" s="7">
        <f>AVERAGE(R1374:R1377)</f>
        <v>0</v>
      </c>
      <c r="U1374" s="8">
        <f>(L1374+L1375+L1376+L1377+O1374+O1375+O1376+O1377)/(K1374+K1375+K1376+K1377)*100</f>
        <v>99</v>
      </c>
    </row>
    <row r="1375" ht="13.5" customHeight="1" spans="1:19">
      <c r="A1375" s="3" t="s">
        <v>69</v>
      </c>
      <c r="B1375" s="3">
        <v>1940</v>
      </c>
      <c r="C1375" s="3">
        <v>11126</v>
      </c>
      <c r="D1375" s="3">
        <v>0.1</v>
      </c>
      <c r="E1375" s="4" t="s">
        <v>22</v>
      </c>
      <c r="F1375" s="3" t="s">
        <v>119</v>
      </c>
      <c r="G1375" s="4" t="s">
        <v>119</v>
      </c>
      <c r="H1375" s="4" t="s">
        <v>25</v>
      </c>
      <c r="I1375" s="4" t="s">
        <v>156</v>
      </c>
      <c r="J1375" s="3">
        <v>2</v>
      </c>
      <c r="K1375" s="3">
        <v>25</v>
      </c>
      <c r="L1375" s="3">
        <v>25</v>
      </c>
      <c r="M1375" s="3">
        <v>0</v>
      </c>
      <c r="N1375" s="3">
        <v>0</v>
      </c>
      <c r="O1375" s="3">
        <v>0</v>
      </c>
      <c r="P1375" s="3">
        <f t="shared" si="0"/>
        <v>0</v>
      </c>
      <c r="Q1375" s="3">
        <f t="shared" si="1"/>
        <v>100</v>
      </c>
      <c r="R1375" s="3">
        <f t="shared" si="2"/>
        <v>0</v>
      </c>
      <c r="S1375" s="11"/>
    </row>
    <row r="1376" ht="13.5" customHeight="1" spans="1:19">
      <c r="A1376" s="3" t="s">
        <v>69</v>
      </c>
      <c r="B1376" s="3">
        <v>1940</v>
      </c>
      <c r="C1376" s="3">
        <v>11126</v>
      </c>
      <c r="D1376" s="3">
        <v>0.1</v>
      </c>
      <c r="E1376" s="4" t="s">
        <v>22</v>
      </c>
      <c r="F1376" s="3" t="s">
        <v>119</v>
      </c>
      <c r="G1376" s="4" t="s">
        <v>119</v>
      </c>
      <c r="H1376" s="4" t="s">
        <v>25</v>
      </c>
      <c r="I1376" s="4" t="s">
        <v>156</v>
      </c>
      <c r="J1376" s="3">
        <v>3</v>
      </c>
      <c r="K1376" s="3">
        <v>25</v>
      </c>
      <c r="L1376" s="3">
        <v>25</v>
      </c>
      <c r="M1376" s="3">
        <v>0</v>
      </c>
      <c r="N1376" s="3">
        <v>0</v>
      </c>
      <c r="O1376" s="3">
        <v>0</v>
      </c>
      <c r="P1376" s="3">
        <f t="shared" si="0"/>
        <v>0</v>
      </c>
      <c r="Q1376" s="3">
        <f t="shared" si="1"/>
        <v>100</v>
      </c>
      <c r="R1376" s="3">
        <f t="shared" si="2"/>
        <v>0</v>
      </c>
      <c r="S1376" s="11"/>
    </row>
    <row r="1377" ht="13.5" customHeight="1" spans="1:19">
      <c r="A1377" s="3" t="s">
        <v>69</v>
      </c>
      <c r="B1377" s="3">
        <v>1940</v>
      </c>
      <c r="C1377" s="3">
        <v>11126</v>
      </c>
      <c r="D1377" s="3">
        <v>0.1</v>
      </c>
      <c r="E1377" s="4" t="s">
        <v>22</v>
      </c>
      <c r="F1377" s="3" t="s">
        <v>119</v>
      </c>
      <c r="G1377" s="4" t="s">
        <v>119</v>
      </c>
      <c r="H1377" s="4" t="s">
        <v>25</v>
      </c>
      <c r="I1377" s="4" t="s">
        <v>156</v>
      </c>
      <c r="J1377" s="3">
        <v>4</v>
      </c>
      <c r="K1377" s="3">
        <v>25</v>
      </c>
      <c r="L1377" s="3">
        <v>24</v>
      </c>
      <c r="M1377" s="3">
        <v>1</v>
      </c>
      <c r="N1377" s="3">
        <v>0</v>
      </c>
      <c r="O1377" s="3">
        <v>0</v>
      </c>
      <c r="P1377" s="3">
        <f t="shared" si="0"/>
        <v>0</v>
      </c>
      <c r="Q1377" s="3">
        <f t="shared" si="1"/>
        <v>96</v>
      </c>
      <c r="R1377" s="3">
        <f t="shared" si="2"/>
        <v>0</v>
      </c>
      <c r="S1377" s="11"/>
    </row>
    <row r="1378" ht="13.5" customHeight="1" spans="1:21">
      <c r="A1378" s="3" t="s">
        <v>117</v>
      </c>
      <c r="B1378" s="3">
        <v>1001</v>
      </c>
      <c r="C1378" s="3">
        <v>4887</v>
      </c>
      <c r="D1378" s="3">
        <v>1</v>
      </c>
      <c r="E1378" s="4" t="s">
        <v>22</v>
      </c>
      <c r="F1378" s="3" t="s">
        <v>51</v>
      </c>
      <c r="G1378" s="3" t="s">
        <v>51</v>
      </c>
      <c r="H1378" s="4" t="s">
        <v>25</v>
      </c>
      <c r="I1378" s="4" t="s">
        <v>156</v>
      </c>
      <c r="J1378" s="3">
        <v>1</v>
      </c>
      <c r="K1378" s="3">
        <v>16</v>
      </c>
      <c r="L1378" s="3">
        <v>11</v>
      </c>
      <c r="M1378" s="3">
        <v>0</v>
      </c>
      <c r="N1378" s="3">
        <v>0</v>
      </c>
      <c r="O1378" s="3">
        <v>5</v>
      </c>
      <c r="P1378" s="3">
        <f t="shared" si="0"/>
        <v>0</v>
      </c>
      <c r="Q1378" s="3">
        <f t="shared" si="1"/>
        <v>68.75</v>
      </c>
      <c r="R1378" s="3">
        <f t="shared" si="2"/>
        <v>31.25</v>
      </c>
      <c r="S1378" s="11">
        <f>AVERAGE(Q1378:Q1381)</f>
        <v>77.1875</v>
      </c>
      <c r="T1378" s="7">
        <f>AVERAGE(R1378:R1381)</f>
        <v>22.8125</v>
      </c>
      <c r="U1378" s="8">
        <f>(L1378+L1379+L1380+L1381+O1378+O1379+O1380+O1381)/(K1378+K1379+K1380+K1381)*100</f>
        <v>100</v>
      </c>
    </row>
    <row r="1379" ht="13.5" customHeight="1" spans="1:19">
      <c r="A1379" s="3" t="s">
        <v>117</v>
      </c>
      <c r="B1379" s="3">
        <v>1001</v>
      </c>
      <c r="C1379" s="3">
        <v>4887</v>
      </c>
      <c r="D1379" s="3">
        <v>1</v>
      </c>
      <c r="E1379" s="4" t="s">
        <v>22</v>
      </c>
      <c r="F1379" s="3" t="s">
        <v>51</v>
      </c>
      <c r="G1379" s="3" t="s">
        <v>51</v>
      </c>
      <c r="H1379" s="4" t="s">
        <v>25</v>
      </c>
      <c r="I1379" s="4" t="s">
        <v>156</v>
      </c>
      <c r="J1379" s="3">
        <v>2</v>
      </c>
      <c r="K1379" s="3">
        <v>20</v>
      </c>
      <c r="L1379" s="3">
        <v>17</v>
      </c>
      <c r="M1379" s="3">
        <v>0</v>
      </c>
      <c r="N1379" s="3">
        <v>0</v>
      </c>
      <c r="O1379" s="3">
        <v>3</v>
      </c>
      <c r="P1379" s="3">
        <f t="shared" si="0"/>
        <v>0</v>
      </c>
      <c r="Q1379" s="3">
        <f t="shared" si="1"/>
        <v>85</v>
      </c>
      <c r="R1379" s="3">
        <f t="shared" si="2"/>
        <v>15</v>
      </c>
      <c r="S1379" s="11"/>
    </row>
    <row r="1380" ht="13.5" customHeight="1" spans="1:19">
      <c r="A1380" s="3" t="s">
        <v>117</v>
      </c>
      <c r="B1380" s="3">
        <v>1001</v>
      </c>
      <c r="C1380" s="3">
        <v>4887</v>
      </c>
      <c r="D1380" s="3">
        <v>1</v>
      </c>
      <c r="E1380" s="4" t="s">
        <v>22</v>
      </c>
      <c r="F1380" s="3" t="s">
        <v>51</v>
      </c>
      <c r="G1380" s="3" t="s">
        <v>51</v>
      </c>
      <c r="H1380" s="4" t="s">
        <v>25</v>
      </c>
      <c r="I1380" s="4" t="s">
        <v>156</v>
      </c>
      <c r="J1380" s="3">
        <v>3</v>
      </c>
      <c r="K1380" s="3">
        <v>16</v>
      </c>
      <c r="L1380" s="3">
        <v>12</v>
      </c>
      <c r="M1380" s="3">
        <v>0</v>
      </c>
      <c r="N1380" s="3">
        <v>0</v>
      </c>
      <c r="O1380" s="3">
        <v>4</v>
      </c>
      <c r="P1380" s="3">
        <f t="shared" si="0"/>
        <v>0</v>
      </c>
      <c r="Q1380" s="3">
        <f t="shared" si="1"/>
        <v>75</v>
      </c>
      <c r="R1380" s="3">
        <f t="shared" si="2"/>
        <v>25</v>
      </c>
      <c r="S1380" s="11"/>
    </row>
    <row r="1381" ht="13.5" customHeight="1" spans="1:19">
      <c r="A1381" s="3" t="s">
        <v>117</v>
      </c>
      <c r="B1381" s="3">
        <v>1001</v>
      </c>
      <c r="C1381" s="3">
        <v>4887</v>
      </c>
      <c r="D1381" s="3">
        <v>1</v>
      </c>
      <c r="E1381" s="4" t="s">
        <v>22</v>
      </c>
      <c r="F1381" s="3" t="s">
        <v>51</v>
      </c>
      <c r="G1381" s="3" t="s">
        <v>51</v>
      </c>
      <c r="H1381" s="4" t="s">
        <v>25</v>
      </c>
      <c r="I1381" s="4" t="s">
        <v>156</v>
      </c>
      <c r="J1381" s="3">
        <v>4</v>
      </c>
      <c r="K1381" s="3">
        <v>20</v>
      </c>
      <c r="L1381" s="3">
        <v>16</v>
      </c>
      <c r="M1381" s="3">
        <v>0</v>
      </c>
      <c r="N1381" s="3">
        <v>0</v>
      </c>
      <c r="O1381" s="3">
        <v>4</v>
      </c>
      <c r="P1381" s="3">
        <f t="shared" si="0"/>
        <v>0</v>
      </c>
      <c r="Q1381" s="3">
        <f t="shared" si="1"/>
        <v>80</v>
      </c>
      <c r="R1381" s="3">
        <f t="shared" si="2"/>
        <v>20</v>
      </c>
      <c r="S1381" s="11"/>
    </row>
    <row r="1382" ht="13.5" customHeight="1" spans="1:21">
      <c r="A1382" s="3" t="s">
        <v>32</v>
      </c>
      <c r="B1382" s="3">
        <v>1342</v>
      </c>
      <c r="C1382" s="3">
        <v>9074</v>
      </c>
      <c r="D1382" s="3">
        <v>0.1</v>
      </c>
      <c r="E1382" s="3" t="s">
        <v>191</v>
      </c>
      <c r="F1382" s="3" t="s">
        <v>192</v>
      </c>
      <c r="G1382" s="3" t="s">
        <v>193</v>
      </c>
      <c r="H1382" s="4" t="s">
        <v>40</v>
      </c>
      <c r="I1382" s="4" t="s">
        <v>156</v>
      </c>
      <c r="J1382" s="3">
        <v>1</v>
      </c>
      <c r="K1382" s="3">
        <v>25</v>
      </c>
      <c r="L1382" s="3">
        <v>0</v>
      </c>
      <c r="M1382" s="3">
        <v>3</v>
      </c>
      <c r="N1382" s="3">
        <v>0</v>
      </c>
      <c r="O1382" s="3">
        <v>22</v>
      </c>
      <c r="P1382" s="3">
        <f t="shared" si="0"/>
        <v>0</v>
      </c>
      <c r="Q1382" s="3">
        <f t="shared" si="1"/>
        <v>0</v>
      </c>
      <c r="R1382" s="3">
        <f t="shared" si="2"/>
        <v>88</v>
      </c>
      <c r="S1382" s="11">
        <f>AVERAGE(Q1382:Q1385)</f>
        <v>4.26086956521739</v>
      </c>
      <c r="T1382" s="7">
        <f>AVERAGE(R1382:R1385)</f>
        <v>78.6719367588933</v>
      </c>
      <c r="U1382" s="8">
        <f>(L1382+L1383+L1384+L1385+O1382+O1383+O1384+O1385)/(K1382+K1383+K1384+K1385)*100</f>
        <v>79</v>
      </c>
    </row>
    <row r="1383" ht="13.5" customHeight="1" spans="1:19">
      <c r="A1383" s="3" t="s">
        <v>32</v>
      </c>
      <c r="B1383" s="3">
        <v>1342</v>
      </c>
      <c r="C1383" s="3">
        <v>9074</v>
      </c>
      <c r="D1383" s="3">
        <v>0.1</v>
      </c>
      <c r="E1383" s="3" t="s">
        <v>191</v>
      </c>
      <c r="F1383" s="3" t="s">
        <v>192</v>
      </c>
      <c r="G1383" s="3" t="s">
        <v>193</v>
      </c>
      <c r="H1383" s="4" t="s">
        <v>40</v>
      </c>
      <c r="I1383" s="4" t="s">
        <v>156</v>
      </c>
      <c r="J1383" s="3">
        <v>2</v>
      </c>
      <c r="K1383" s="3">
        <v>25</v>
      </c>
      <c r="L1383" s="3">
        <v>0</v>
      </c>
      <c r="M1383" s="3">
        <v>4</v>
      </c>
      <c r="N1383" s="3">
        <v>3</v>
      </c>
      <c r="O1383" s="3">
        <v>18</v>
      </c>
      <c r="P1383" s="3">
        <f t="shared" si="0"/>
        <v>0</v>
      </c>
      <c r="Q1383" s="3">
        <f t="shared" si="1"/>
        <v>0</v>
      </c>
      <c r="R1383" s="3">
        <f t="shared" si="2"/>
        <v>81.8181818181818</v>
      </c>
      <c r="S1383" s="11"/>
    </row>
    <row r="1384" ht="13.5" customHeight="1" spans="1:19">
      <c r="A1384" s="3" t="s">
        <v>32</v>
      </c>
      <c r="B1384" s="3">
        <v>1342</v>
      </c>
      <c r="C1384" s="3">
        <v>9074</v>
      </c>
      <c r="D1384" s="3">
        <v>0.1</v>
      </c>
      <c r="E1384" s="3" t="s">
        <v>191</v>
      </c>
      <c r="F1384" s="3" t="s">
        <v>192</v>
      </c>
      <c r="G1384" s="3" t="s">
        <v>193</v>
      </c>
      <c r="H1384" s="4" t="s">
        <v>40</v>
      </c>
      <c r="I1384" s="4" t="s">
        <v>156</v>
      </c>
      <c r="J1384" s="3">
        <v>3</v>
      </c>
      <c r="K1384" s="3">
        <v>25</v>
      </c>
      <c r="L1384" s="3">
        <v>1</v>
      </c>
      <c r="M1384" s="3">
        <v>3</v>
      </c>
      <c r="N1384" s="3">
        <v>0</v>
      </c>
      <c r="O1384" s="3">
        <v>21</v>
      </c>
      <c r="P1384" s="3">
        <f t="shared" si="0"/>
        <v>0</v>
      </c>
      <c r="Q1384" s="3">
        <f t="shared" si="1"/>
        <v>4</v>
      </c>
      <c r="R1384" s="3">
        <f t="shared" si="2"/>
        <v>84</v>
      </c>
      <c r="S1384" s="11"/>
    </row>
    <row r="1385" ht="13.5" customHeight="1" spans="1:19">
      <c r="A1385" s="3" t="s">
        <v>32</v>
      </c>
      <c r="B1385" s="3">
        <v>1342</v>
      </c>
      <c r="C1385" s="3">
        <v>9074</v>
      </c>
      <c r="D1385" s="3">
        <v>0.1</v>
      </c>
      <c r="E1385" s="3" t="s">
        <v>191</v>
      </c>
      <c r="F1385" s="3" t="s">
        <v>192</v>
      </c>
      <c r="G1385" s="3" t="s">
        <v>193</v>
      </c>
      <c r="H1385" s="4" t="s">
        <v>40</v>
      </c>
      <c r="I1385" s="4" t="s">
        <v>156</v>
      </c>
      <c r="J1385" s="3">
        <v>4</v>
      </c>
      <c r="K1385" s="3">
        <v>25</v>
      </c>
      <c r="L1385" s="3">
        <v>3</v>
      </c>
      <c r="M1385" s="3">
        <v>6</v>
      </c>
      <c r="N1385" s="3">
        <v>2</v>
      </c>
      <c r="O1385" s="3">
        <v>14</v>
      </c>
      <c r="P1385" s="3">
        <f t="shared" si="0"/>
        <v>0</v>
      </c>
      <c r="Q1385" s="3">
        <f t="shared" si="1"/>
        <v>13.0434782608696</v>
      </c>
      <c r="R1385" s="3">
        <f t="shared" si="2"/>
        <v>60.8695652173913</v>
      </c>
      <c r="S1385" s="11"/>
    </row>
    <row r="1386" ht="13.5" customHeight="1" spans="1:21">
      <c r="A1386" s="3" t="s">
        <v>57</v>
      </c>
      <c r="B1386" s="3">
        <v>1847</v>
      </c>
      <c r="C1386" s="3">
        <v>10763</v>
      </c>
      <c r="D1386" s="3">
        <v>1</v>
      </c>
      <c r="E1386" s="3" t="s">
        <v>144</v>
      </c>
      <c r="F1386" s="3" t="s">
        <v>109</v>
      </c>
      <c r="G1386" s="3" t="s">
        <v>146</v>
      </c>
      <c r="H1386" s="4" t="s">
        <v>147</v>
      </c>
      <c r="I1386" s="4" t="s">
        <v>156</v>
      </c>
      <c r="J1386" s="3">
        <v>1</v>
      </c>
      <c r="K1386" s="3">
        <v>20</v>
      </c>
      <c r="L1386" s="3">
        <v>4</v>
      </c>
      <c r="M1386" s="3">
        <v>3</v>
      </c>
      <c r="N1386" s="3">
        <v>0</v>
      </c>
      <c r="O1386" s="3">
        <v>13</v>
      </c>
      <c r="P1386" s="3">
        <f t="shared" si="0"/>
        <v>0</v>
      </c>
      <c r="Q1386" s="3">
        <f t="shared" si="1"/>
        <v>20</v>
      </c>
      <c r="R1386" s="3">
        <f t="shared" si="2"/>
        <v>65</v>
      </c>
      <c r="S1386" s="11">
        <f>AVERAGE(Q1386:Q1389)</f>
        <v>11.25</v>
      </c>
      <c r="T1386" s="7">
        <f>AVERAGE(R1386:R1389)</f>
        <v>78.75</v>
      </c>
      <c r="U1386" s="8">
        <f>(L1386+L1387+L1388+L1389+O1386+O1387+O1388+O1389)/(K1386+K1387+K1388+K1389)*100</f>
        <v>90</v>
      </c>
    </row>
    <row r="1387" ht="13.5" customHeight="1" spans="1:19">
      <c r="A1387" s="3" t="s">
        <v>57</v>
      </c>
      <c r="B1387" s="3">
        <v>1847</v>
      </c>
      <c r="C1387" s="3">
        <v>10763</v>
      </c>
      <c r="D1387" s="3">
        <v>1</v>
      </c>
      <c r="E1387" s="3" t="s">
        <v>144</v>
      </c>
      <c r="F1387" s="3" t="s">
        <v>109</v>
      </c>
      <c r="G1387" s="3" t="s">
        <v>146</v>
      </c>
      <c r="H1387" s="4" t="s">
        <v>147</v>
      </c>
      <c r="I1387" s="4" t="s">
        <v>156</v>
      </c>
      <c r="J1387" s="3">
        <v>2</v>
      </c>
      <c r="K1387" s="3">
        <v>20</v>
      </c>
      <c r="L1387" s="3">
        <v>2</v>
      </c>
      <c r="M1387" s="3">
        <v>3</v>
      </c>
      <c r="N1387" s="3">
        <v>0</v>
      </c>
      <c r="O1387" s="3">
        <v>15</v>
      </c>
      <c r="P1387" s="3">
        <f t="shared" si="0"/>
        <v>0</v>
      </c>
      <c r="Q1387" s="3">
        <f t="shared" si="1"/>
        <v>10</v>
      </c>
      <c r="R1387" s="3">
        <f t="shared" si="2"/>
        <v>75</v>
      </c>
      <c r="S1387" s="11"/>
    </row>
    <row r="1388" ht="13.5" customHeight="1" spans="1:19">
      <c r="A1388" s="3" t="s">
        <v>57</v>
      </c>
      <c r="B1388" s="3">
        <v>1847</v>
      </c>
      <c r="C1388" s="3">
        <v>10763</v>
      </c>
      <c r="D1388" s="3">
        <v>1</v>
      </c>
      <c r="E1388" s="3" t="s">
        <v>144</v>
      </c>
      <c r="F1388" s="3" t="s">
        <v>109</v>
      </c>
      <c r="G1388" s="3" t="s">
        <v>146</v>
      </c>
      <c r="H1388" s="4" t="s">
        <v>147</v>
      </c>
      <c r="I1388" s="4" t="s">
        <v>156</v>
      </c>
      <c r="J1388" s="3">
        <v>3</v>
      </c>
      <c r="K1388" s="3">
        <v>20</v>
      </c>
      <c r="L1388" s="3">
        <v>0</v>
      </c>
      <c r="M1388" s="3">
        <v>2</v>
      </c>
      <c r="N1388" s="3">
        <v>0</v>
      </c>
      <c r="O1388" s="3">
        <v>18</v>
      </c>
      <c r="P1388" s="3">
        <f t="shared" si="0"/>
        <v>0</v>
      </c>
      <c r="Q1388" s="3">
        <f t="shared" si="1"/>
        <v>0</v>
      </c>
      <c r="R1388" s="3">
        <f t="shared" si="2"/>
        <v>90</v>
      </c>
      <c r="S1388" s="11"/>
    </row>
    <row r="1389" ht="13.5" customHeight="1" spans="1:19">
      <c r="A1389" s="3" t="s">
        <v>57</v>
      </c>
      <c r="B1389" s="3">
        <v>1847</v>
      </c>
      <c r="C1389" s="3">
        <v>10763</v>
      </c>
      <c r="D1389" s="3">
        <v>1</v>
      </c>
      <c r="E1389" s="3" t="s">
        <v>144</v>
      </c>
      <c r="F1389" s="3" t="s">
        <v>109</v>
      </c>
      <c r="G1389" s="3" t="s">
        <v>146</v>
      </c>
      <c r="H1389" s="4" t="s">
        <v>147</v>
      </c>
      <c r="I1389" s="4" t="s">
        <v>156</v>
      </c>
      <c r="J1389" s="3">
        <v>4</v>
      </c>
      <c r="K1389" s="3">
        <v>20</v>
      </c>
      <c r="L1389" s="3">
        <v>3</v>
      </c>
      <c r="M1389" s="3">
        <v>0</v>
      </c>
      <c r="N1389" s="3">
        <v>0</v>
      </c>
      <c r="O1389" s="3">
        <v>17</v>
      </c>
      <c r="P1389" s="3">
        <f t="shared" si="0"/>
        <v>0</v>
      </c>
      <c r="Q1389" s="3">
        <f t="shared" si="1"/>
        <v>15</v>
      </c>
      <c r="R1389" s="3">
        <f t="shared" si="2"/>
        <v>85</v>
      </c>
      <c r="S1389" s="11"/>
    </row>
    <row r="1390" ht="13.5" customHeight="1" spans="1:21">
      <c r="A1390" s="3" t="s">
        <v>47</v>
      </c>
      <c r="B1390" s="3">
        <v>1504</v>
      </c>
      <c r="C1390" s="3">
        <v>9859</v>
      </c>
      <c r="D1390" s="3">
        <v>0.1</v>
      </c>
      <c r="E1390" s="3" t="s">
        <v>194</v>
      </c>
      <c r="F1390" s="3" t="s">
        <v>195</v>
      </c>
      <c r="G1390" s="3" t="s">
        <v>196</v>
      </c>
      <c r="H1390" s="4" t="s">
        <v>25</v>
      </c>
      <c r="I1390" s="4" t="s">
        <v>156</v>
      </c>
      <c r="J1390" s="3">
        <v>1</v>
      </c>
      <c r="K1390" s="3">
        <v>25</v>
      </c>
      <c r="L1390" s="3">
        <v>1</v>
      </c>
      <c r="M1390" s="3">
        <v>0</v>
      </c>
      <c r="N1390" s="3">
        <v>0</v>
      </c>
      <c r="O1390" s="3">
        <v>24</v>
      </c>
      <c r="P1390" s="3">
        <f t="shared" si="0"/>
        <v>0</v>
      </c>
      <c r="Q1390" s="3">
        <f t="shared" si="1"/>
        <v>4</v>
      </c>
      <c r="R1390" s="3">
        <f t="shared" si="2"/>
        <v>96</v>
      </c>
      <c r="S1390" s="11">
        <f>AVERAGE(Q1390:Q1393)</f>
        <v>5</v>
      </c>
      <c r="T1390" s="7">
        <f>AVERAGE(R1390:R1393)</f>
        <v>95</v>
      </c>
      <c r="U1390" s="8">
        <f>(L1390+L1391+L1392+L1393+O1390+O1391+O1392+O1393)/(K1390+K1391+K1392+K1393)*100</f>
        <v>100</v>
      </c>
    </row>
    <row r="1391" ht="13.5" customHeight="1" spans="1:19">
      <c r="A1391" s="3" t="s">
        <v>47</v>
      </c>
      <c r="B1391" s="3">
        <v>1504</v>
      </c>
      <c r="C1391" s="3">
        <v>9859</v>
      </c>
      <c r="D1391" s="3">
        <v>0.1</v>
      </c>
      <c r="E1391" s="3" t="s">
        <v>194</v>
      </c>
      <c r="F1391" s="3" t="s">
        <v>195</v>
      </c>
      <c r="G1391" s="3" t="s">
        <v>196</v>
      </c>
      <c r="H1391" s="4" t="s">
        <v>25</v>
      </c>
      <c r="I1391" s="4" t="s">
        <v>156</v>
      </c>
      <c r="J1391" s="3">
        <v>2</v>
      </c>
      <c r="K1391" s="3">
        <v>25</v>
      </c>
      <c r="L1391" s="3">
        <v>1</v>
      </c>
      <c r="M1391" s="3">
        <v>0</v>
      </c>
      <c r="N1391" s="3">
        <v>0</v>
      </c>
      <c r="O1391" s="3">
        <v>24</v>
      </c>
      <c r="P1391" s="3">
        <f t="shared" si="0"/>
        <v>0</v>
      </c>
      <c r="Q1391" s="3">
        <f t="shared" si="1"/>
        <v>4</v>
      </c>
      <c r="R1391" s="3">
        <f t="shared" si="2"/>
        <v>96</v>
      </c>
      <c r="S1391" s="11"/>
    </row>
    <row r="1392" ht="13.5" customHeight="1" spans="1:19">
      <c r="A1392" s="3" t="s">
        <v>47</v>
      </c>
      <c r="B1392" s="3">
        <v>1504</v>
      </c>
      <c r="C1392" s="3">
        <v>9859</v>
      </c>
      <c r="D1392" s="3">
        <v>0.1</v>
      </c>
      <c r="E1392" s="3" t="s">
        <v>194</v>
      </c>
      <c r="F1392" s="3" t="s">
        <v>195</v>
      </c>
      <c r="G1392" s="3" t="s">
        <v>196</v>
      </c>
      <c r="H1392" s="4" t="s">
        <v>25</v>
      </c>
      <c r="I1392" s="4" t="s">
        <v>156</v>
      </c>
      <c r="J1392" s="3">
        <v>3</v>
      </c>
      <c r="K1392" s="3">
        <v>25</v>
      </c>
      <c r="L1392" s="3">
        <v>2</v>
      </c>
      <c r="M1392" s="3">
        <v>0</v>
      </c>
      <c r="N1392" s="3">
        <v>0</v>
      </c>
      <c r="O1392" s="3">
        <v>23</v>
      </c>
      <c r="P1392" s="3">
        <f t="shared" si="0"/>
        <v>0</v>
      </c>
      <c r="Q1392" s="3">
        <f t="shared" si="1"/>
        <v>8</v>
      </c>
      <c r="R1392" s="3">
        <f t="shared" si="2"/>
        <v>92</v>
      </c>
      <c r="S1392" s="11"/>
    </row>
    <row r="1393" ht="13.5" customHeight="1" spans="1:19">
      <c r="A1393" s="3" t="s">
        <v>47</v>
      </c>
      <c r="B1393" s="3">
        <v>1504</v>
      </c>
      <c r="C1393" s="3">
        <v>9859</v>
      </c>
      <c r="D1393" s="3">
        <v>0.1</v>
      </c>
      <c r="E1393" s="3" t="s">
        <v>194</v>
      </c>
      <c r="F1393" s="3" t="s">
        <v>195</v>
      </c>
      <c r="G1393" s="3" t="s">
        <v>196</v>
      </c>
      <c r="H1393" s="4" t="s">
        <v>25</v>
      </c>
      <c r="I1393" s="4" t="s">
        <v>156</v>
      </c>
      <c r="J1393" s="3">
        <v>4</v>
      </c>
      <c r="K1393" s="3">
        <v>25</v>
      </c>
      <c r="L1393" s="3">
        <v>1</v>
      </c>
      <c r="M1393" s="3">
        <v>0</v>
      </c>
      <c r="N1393" s="3">
        <v>0</v>
      </c>
      <c r="O1393" s="3">
        <v>24</v>
      </c>
      <c r="P1393" s="3">
        <f t="shared" si="0"/>
        <v>0</v>
      </c>
      <c r="Q1393" s="3">
        <f t="shared" si="1"/>
        <v>4</v>
      </c>
      <c r="R1393" s="3">
        <f t="shared" si="2"/>
        <v>96</v>
      </c>
      <c r="S1393" s="11"/>
    </row>
    <row r="1394" ht="13.5" customHeight="1" spans="1:21">
      <c r="A1394" s="3" t="s">
        <v>42</v>
      </c>
      <c r="B1394" s="3">
        <v>1441</v>
      </c>
      <c r="C1394" s="3">
        <v>9420</v>
      </c>
      <c r="D1394" s="3">
        <v>0.1</v>
      </c>
      <c r="E1394" s="3" t="s">
        <v>197</v>
      </c>
      <c r="F1394" s="3" t="s">
        <v>195</v>
      </c>
      <c r="G1394" s="3" t="s">
        <v>198</v>
      </c>
      <c r="H1394" s="4" t="s">
        <v>25</v>
      </c>
      <c r="I1394" s="4" t="s">
        <v>156</v>
      </c>
      <c r="J1394" s="3">
        <v>1</v>
      </c>
      <c r="K1394" s="3">
        <v>25</v>
      </c>
      <c r="L1394" s="3">
        <v>2</v>
      </c>
      <c r="M1394" s="3">
        <v>5</v>
      </c>
      <c r="N1394" s="3">
        <v>0</v>
      </c>
      <c r="O1394" s="3">
        <v>18</v>
      </c>
      <c r="P1394" s="3">
        <f t="shared" si="0"/>
        <v>0</v>
      </c>
      <c r="Q1394" s="3">
        <f t="shared" si="1"/>
        <v>8</v>
      </c>
      <c r="R1394" s="3">
        <f t="shared" si="2"/>
        <v>72</v>
      </c>
      <c r="S1394" s="11">
        <f>AVERAGE(Q1394:Q1397)</f>
        <v>15.8340336134454</v>
      </c>
      <c r="T1394" s="7">
        <f>AVERAGE(R1394:R1397)</f>
        <v>79.1659663865546</v>
      </c>
      <c r="U1394" s="8">
        <f>(L1394+L1395+L1396+L1397+O1394+O1395+O1396+O1397)/(K1394+K1395+K1396+K1397)*100</f>
        <v>78</v>
      </c>
    </row>
    <row r="1395" ht="13.5" customHeight="1" spans="1:19">
      <c r="A1395" s="3" t="s">
        <v>42</v>
      </c>
      <c r="B1395" s="3">
        <v>1441</v>
      </c>
      <c r="C1395" s="3">
        <v>9420</v>
      </c>
      <c r="D1395" s="3">
        <v>0.1</v>
      </c>
      <c r="E1395" s="3" t="s">
        <v>197</v>
      </c>
      <c r="F1395" s="3" t="s">
        <v>195</v>
      </c>
      <c r="G1395" s="3" t="s">
        <v>198</v>
      </c>
      <c r="H1395" s="4" t="s">
        <v>25</v>
      </c>
      <c r="I1395" s="4" t="s">
        <v>156</v>
      </c>
      <c r="J1395" s="3">
        <v>2</v>
      </c>
      <c r="K1395" s="3">
        <v>25</v>
      </c>
      <c r="L1395" s="3">
        <v>3</v>
      </c>
      <c r="M1395" s="3">
        <v>0</v>
      </c>
      <c r="N1395" s="3">
        <v>5</v>
      </c>
      <c r="O1395" s="3">
        <v>17</v>
      </c>
      <c r="P1395" s="3">
        <f t="shared" si="0"/>
        <v>0</v>
      </c>
      <c r="Q1395" s="3">
        <f t="shared" si="1"/>
        <v>15</v>
      </c>
      <c r="R1395" s="3">
        <f t="shared" si="2"/>
        <v>85</v>
      </c>
      <c r="S1395" s="11"/>
    </row>
    <row r="1396" ht="13.5" customHeight="1" spans="1:19">
      <c r="A1396" s="3" t="s">
        <v>42</v>
      </c>
      <c r="B1396" s="3">
        <v>1441</v>
      </c>
      <c r="C1396" s="3">
        <v>9420</v>
      </c>
      <c r="D1396" s="3">
        <v>0.1</v>
      </c>
      <c r="E1396" s="3" t="s">
        <v>197</v>
      </c>
      <c r="F1396" s="3" t="s">
        <v>195</v>
      </c>
      <c r="G1396" s="3" t="s">
        <v>198</v>
      </c>
      <c r="H1396" s="4" t="s">
        <v>25</v>
      </c>
      <c r="I1396" s="4" t="s">
        <v>156</v>
      </c>
      <c r="J1396" s="3">
        <v>3</v>
      </c>
      <c r="K1396" s="3">
        <v>25</v>
      </c>
      <c r="L1396" s="3">
        <v>6</v>
      </c>
      <c r="M1396" s="3">
        <v>0</v>
      </c>
      <c r="N1396" s="3">
        <v>4</v>
      </c>
      <c r="O1396" s="3">
        <v>15</v>
      </c>
      <c r="P1396" s="3">
        <f t="shared" si="0"/>
        <v>0</v>
      </c>
      <c r="Q1396" s="3">
        <f t="shared" si="1"/>
        <v>28.5714285714286</v>
      </c>
      <c r="R1396" s="3">
        <f t="shared" si="2"/>
        <v>71.4285714285714</v>
      </c>
      <c r="S1396" s="11"/>
    </row>
    <row r="1397" ht="13.5" customHeight="1" spans="1:19">
      <c r="A1397" s="3" t="s">
        <v>42</v>
      </c>
      <c r="B1397" s="3">
        <v>1441</v>
      </c>
      <c r="C1397" s="3">
        <v>9420</v>
      </c>
      <c r="D1397" s="3">
        <v>0.1</v>
      </c>
      <c r="E1397" s="3" t="s">
        <v>197</v>
      </c>
      <c r="F1397" s="3" t="s">
        <v>195</v>
      </c>
      <c r="G1397" s="3" t="s">
        <v>198</v>
      </c>
      <c r="H1397" s="4" t="s">
        <v>25</v>
      </c>
      <c r="I1397" s="4" t="s">
        <v>156</v>
      </c>
      <c r="J1397" s="3">
        <v>4</v>
      </c>
      <c r="K1397" s="3">
        <v>25</v>
      </c>
      <c r="L1397" s="3">
        <v>2</v>
      </c>
      <c r="M1397" s="3">
        <v>0</v>
      </c>
      <c r="N1397" s="3">
        <v>8</v>
      </c>
      <c r="O1397" s="3">
        <v>15</v>
      </c>
      <c r="P1397" s="3">
        <f t="shared" si="0"/>
        <v>0</v>
      </c>
      <c r="Q1397" s="3">
        <f t="shared" si="1"/>
        <v>11.7647058823529</v>
      </c>
      <c r="R1397" s="3">
        <f t="shared" si="2"/>
        <v>88.2352941176471</v>
      </c>
      <c r="S1397" s="11"/>
    </row>
    <row r="1398" ht="13.5" customHeight="1" spans="1:21">
      <c r="A1398" s="3" t="s">
        <v>36</v>
      </c>
      <c r="B1398" s="3">
        <v>1294</v>
      </c>
      <c r="C1398" s="3">
        <v>8842</v>
      </c>
      <c r="D1398" s="3">
        <v>0.1</v>
      </c>
      <c r="E1398" s="3" t="s">
        <v>194</v>
      </c>
      <c r="F1398" s="3" t="s">
        <v>195</v>
      </c>
      <c r="G1398" s="3" t="s">
        <v>196</v>
      </c>
      <c r="H1398" s="4" t="s">
        <v>25</v>
      </c>
      <c r="I1398" s="4" t="s">
        <v>156</v>
      </c>
      <c r="J1398" s="3">
        <v>1</v>
      </c>
      <c r="K1398" s="3">
        <v>20</v>
      </c>
      <c r="L1398" s="3">
        <v>1</v>
      </c>
      <c r="M1398" s="3">
        <v>2</v>
      </c>
      <c r="N1398" s="3">
        <v>16</v>
      </c>
      <c r="O1398" s="3">
        <v>1</v>
      </c>
      <c r="P1398" s="3">
        <f t="shared" si="0"/>
        <v>0</v>
      </c>
      <c r="Q1398" s="3">
        <f t="shared" si="1"/>
        <v>25</v>
      </c>
      <c r="R1398" s="3">
        <f t="shared" si="2"/>
        <v>25</v>
      </c>
      <c r="S1398" s="11">
        <f>AVERAGE(Q1398:Q1401)</f>
        <v>18.75</v>
      </c>
      <c r="T1398" s="7">
        <f>AVERAGE(R1398:R1401)</f>
        <v>25.4166666666667</v>
      </c>
      <c r="U1398" s="8">
        <f>(L1398+L1399+L1400+L1401+O1398+O1399+O1400+O1401)/(K1398+K1399+K1400+K1401)*100</f>
        <v>11.25</v>
      </c>
    </row>
    <row r="1399" ht="13.5" customHeight="1" spans="1:19">
      <c r="A1399" s="3" t="s">
        <v>36</v>
      </c>
      <c r="B1399" s="3">
        <v>1294</v>
      </c>
      <c r="C1399" s="3">
        <v>8842</v>
      </c>
      <c r="D1399" s="3">
        <v>0.1</v>
      </c>
      <c r="E1399" s="3" t="s">
        <v>194</v>
      </c>
      <c r="F1399" s="3" t="s">
        <v>195</v>
      </c>
      <c r="G1399" s="3" t="s">
        <v>196</v>
      </c>
      <c r="H1399" s="4" t="s">
        <v>25</v>
      </c>
      <c r="I1399" s="4" t="s">
        <v>156</v>
      </c>
      <c r="J1399" s="3">
        <v>2</v>
      </c>
      <c r="K1399" s="3">
        <v>20</v>
      </c>
      <c r="L1399" s="3">
        <v>3</v>
      </c>
      <c r="M1399" s="3">
        <v>2</v>
      </c>
      <c r="N1399" s="3">
        <v>14</v>
      </c>
      <c r="O1399" s="3">
        <v>1</v>
      </c>
      <c r="P1399" s="3">
        <f t="shared" si="0"/>
        <v>0</v>
      </c>
      <c r="Q1399" s="3">
        <f t="shared" si="1"/>
        <v>50</v>
      </c>
      <c r="R1399" s="3">
        <f t="shared" si="2"/>
        <v>16.6666666666667</v>
      </c>
      <c r="S1399" s="11"/>
    </row>
    <row r="1400" ht="13.5" customHeight="1" spans="1:19">
      <c r="A1400" s="3" t="s">
        <v>36</v>
      </c>
      <c r="B1400" s="3">
        <v>1294</v>
      </c>
      <c r="C1400" s="3">
        <v>8842</v>
      </c>
      <c r="D1400" s="3">
        <v>0.1</v>
      </c>
      <c r="E1400" s="3" t="s">
        <v>194</v>
      </c>
      <c r="F1400" s="3" t="s">
        <v>195</v>
      </c>
      <c r="G1400" s="3" t="s">
        <v>196</v>
      </c>
      <c r="H1400" s="4" t="s">
        <v>25</v>
      </c>
      <c r="I1400" s="4" t="s">
        <v>156</v>
      </c>
      <c r="J1400" s="3">
        <v>3</v>
      </c>
      <c r="K1400" s="3">
        <v>20</v>
      </c>
      <c r="L1400" s="3">
        <v>0</v>
      </c>
      <c r="M1400" s="3">
        <v>2</v>
      </c>
      <c r="N1400" s="3">
        <v>15</v>
      </c>
      <c r="O1400" s="3">
        <v>3</v>
      </c>
      <c r="P1400" s="3">
        <f t="shared" si="0"/>
        <v>0</v>
      </c>
      <c r="Q1400" s="3">
        <f t="shared" si="1"/>
        <v>0</v>
      </c>
      <c r="R1400" s="3">
        <f t="shared" si="2"/>
        <v>60</v>
      </c>
      <c r="S1400" s="11"/>
    </row>
    <row r="1401" ht="13.5" customHeight="1" spans="1:19">
      <c r="A1401" s="3" t="s">
        <v>36</v>
      </c>
      <c r="B1401" s="3">
        <v>1294</v>
      </c>
      <c r="C1401" s="3">
        <v>8842</v>
      </c>
      <c r="D1401" s="3">
        <v>0.1</v>
      </c>
      <c r="E1401" s="3" t="s">
        <v>194</v>
      </c>
      <c r="F1401" s="3" t="s">
        <v>195</v>
      </c>
      <c r="G1401" s="3" t="s">
        <v>196</v>
      </c>
      <c r="H1401" s="4" t="s">
        <v>25</v>
      </c>
      <c r="I1401" s="4" t="s">
        <v>156</v>
      </c>
      <c r="J1401" s="3">
        <v>4</v>
      </c>
      <c r="K1401" s="3">
        <v>20</v>
      </c>
      <c r="L1401" s="3">
        <v>0</v>
      </c>
      <c r="M1401" s="3">
        <v>6</v>
      </c>
      <c r="N1401" s="3">
        <v>14</v>
      </c>
      <c r="O1401" s="3">
        <v>0</v>
      </c>
      <c r="P1401" s="3">
        <f t="shared" si="0"/>
        <v>0</v>
      </c>
      <c r="Q1401" s="3">
        <f t="shared" si="1"/>
        <v>0</v>
      </c>
      <c r="R1401" s="3">
        <f t="shared" si="2"/>
        <v>0</v>
      </c>
      <c r="S1401" s="11"/>
    </row>
    <row r="1402" ht="13.5" customHeight="1" spans="1:21">
      <c r="A1402" s="3" t="s">
        <v>93</v>
      </c>
      <c r="B1402" s="3">
        <v>1661</v>
      </c>
      <c r="C1402" s="3">
        <v>10216</v>
      </c>
      <c r="D1402" s="3">
        <v>0.1</v>
      </c>
      <c r="E1402" s="4" t="s">
        <v>144</v>
      </c>
      <c r="F1402" s="3" t="s">
        <v>199</v>
      </c>
      <c r="G1402" s="3" t="s">
        <v>200</v>
      </c>
      <c r="H1402" s="4" t="s">
        <v>25</v>
      </c>
      <c r="I1402" s="4" t="s">
        <v>156</v>
      </c>
      <c r="J1402" s="3">
        <v>1</v>
      </c>
      <c r="K1402" s="3">
        <v>25</v>
      </c>
      <c r="L1402" s="3">
        <v>2</v>
      </c>
      <c r="M1402" s="3">
        <v>0</v>
      </c>
      <c r="N1402" s="3">
        <v>0</v>
      </c>
      <c r="O1402" s="3">
        <v>23</v>
      </c>
      <c r="P1402" s="3">
        <f t="shared" si="0"/>
        <v>0</v>
      </c>
      <c r="Q1402" s="3">
        <f t="shared" si="1"/>
        <v>8</v>
      </c>
      <c r="R1402" s="3">
        <f t="shared" si="2"/>
        <v>92</v>
      </c>
      <c r="S1402" s="11">
        <f>AVERAGE(Q1402:Q1405)</f>
        <v>3</v>
      </c>
      <c r="T1402" s="7">
        <f>AVERAGE(R1402:R1405)</f>
        <v>97</v>
      </c>
      <c r="U1402" s="8">
        <f>(L1402+L1403+L1404+L1405+O1402+O1403+O1404+O1405)/(K1402+K1403+K1404+K1405)*100</f>
        <v>100</v>
      </c>
    </row>
    <row r="1403" ht="13.5" customHeight="1" spans="1:19">
      <c r="A1403" s="3" t="s">
        <v>93</v>
      </c>
      <c r="B1403" s="3">
        <v>1661</v>
      </c>
      <c r="C1403" s="3">
        <v>10216</v>
      </c>
      <c r="D1403" s="3">
        <v>0.1</v>
      </c>
      <c r="E1403" s="4" t="s">
        <v>144</v>
      </c>
      <c r="F1403" s="3" t="s">
        <v>199</v>
      </c>
      <c r="G1403" s="3" t="s">
        <v>200</v>
      </c>
      <c r="H1403" s="4" t="s">
        <v>25</v>
      </c>
      <c r="I1403" s="4" t="s">
        <v>156</v>
      </c>
      <c r="J1403" s="3">
        <v>2</v>
      </c>
      <c r="K1403" s="3">
        <v>25</v>
      </c>
      <c r="L1403" s="3">
        <v>0</v>
      </c>
      <c r="M1403" s="3">
        <v>0</v>
      </c>
      <c r="N1403" s="3">
        <v>0</v>
      </c>
      <c r="O1403" s="3">
        <v>25</v>
      </c>
      <c r="P1403" s="3">
        <f t="shared" si="0"/>
        <v>0</v>
      </c>
      <c r="Q1403" s="3">
        <f t="shared" si="1"/>
        <v>0</v>
      </c>
      <c r="R1403" s="3">
        <f t="shared" si="2"/>
        <v>100</v>
      </c>
      <c r="S1403" s="11"/>
    </row>
    <row r="1404" ht="13.5" customHeight="1" spans="1:19">
      <c r="A1404" s="3" t="s">
        <v>93</v>
      </c>
      <c r="B1404" s="3">
        <v>1661</v>
      </c>
      <c r="C1404" s="3">
        <v>10216</v>
      </c>
      <c r="D1404" s="3">
        <v>0.1</v>
      </c>
      <c r="E1404" s="4" t="s">
        <v>144</v>
      </c>
      <c r="F1404" s="3" t="s">
        <v>199</v>
      </c>
      <c r="G1404" s="3" t="s">
        <v>200</v>
      </c>
      <c r="H1404" s="4" t="s">
        <v>25</v>
      </c>
      <c r="I1404" s="4" t="s">
        <v>156</v>
      </c>
      <c r="J1404" s="3">
        <v>3</v>
      </c>
      <c r="K1404" s="3">
        <v>25</v>
      </c>
      <c r="L1404" s="3">
        <v>0</v>
      </c>
      <c r="M1404" s="3">
        <v>0</v>
      </c>
      <c r="N1404" s="3">
        <v>0</v>
      </c>
      <c r="O1404" s="3">
        <v>25</v>
      </c>
      <c r="P1404" s="3">
        <f t="shared" si="0"/>
        <v>0</v>
      </c>
      <c r="Q1404" s="3">
        <f t="shared" si="1"/>
        <v>0</v>
      </c>
      <c r="R1404" s="3">
        <f t="shared" si="2"/>
        <v>100</v>
      </c>
      <c r="S1404" s="11"/>
    </row>
    <row r="1405" ht="13.5" customHeight="1" spans="1:19">
      <c r="A1405" s="3" t="s">
        <v>93</v>
      </c>
      <c r="B1405" s="3">
        <v>1661</v>
      </c>
      <c r="C1405" s="3">
        <v>10216</v>
      </c>
      <c r="D1405" s="3">
        <v>0.1</v>
      </c>
      <c r="E1405" s="4" t="s">
        <v>144</v>
      </c>
      <c r="F1405" s="3" t="s">
        <v>199</v>
      </c>
      <c r="G1405" s="3" t="s">
        <v>200</v>
      </c>
      <c r="H1405" s="4" t="s">
        <v>25</v>
      </c>
      <c r="I1405" s="4" t="s">
        <v>156</v>
      </c>
      <c r="J1405" s="3">
        <v>4</v>
      </c>
      <c r="K1405" s="3">
        <v>25</v>
      </c>
      <c r="L1405" s="3">
        <v>1</v>
      </c>
      <c r="M1405" s="3">
        <v>0</v>
      </c>
      <c r="N1405" s="3">
        <v>0</v>
      </c>
      <c r="O1405" s="3">
        <v>24</v>
      </c>
      <c r="P1405" s="3">
        <f t="shared" si="0"/>
        <v>0</v>
      </c>
      <c r="Q1405" s="3">
        <f t="shared" si="1"/>
        <v>4</v>
      </c>
      <c r="R1405" s="3">
        <f t="shared" si="2"/>
        <v>96</v>
      </c>
      <c r="S1405" s="11"/>
    </row>
    <row r="1406" ht="13.5" customHeight="1" spans="1:21">
      <c r="A1406" s="3" t="s">
        <v>93</v>
      </c>
      <c r="B1406" s="3">
        <v>1661</v>
      </c>
      <c r="C1406" s="3">
        <v>10216</v>
      </c>
      <c r="D1406" s="3">
        <v>0.1</v>
      </c>
      <c r="E1406" s="3" t="s">
        <v>144</v>
      </c>
      <c r="F1406" s="3" t="s">
        <v>201</v>
      </c>
      <c r="G1406" s="3" t="s">
        <v>202</v>
      </c>
      <c r="H1406" s="4" t="s">
        <v>25</v>
      </c>
      <c r="I1406" s="4" t="s">
        <v>156</v>
      </c>
      <c r="J1406" s="3">
        <v>1</v>
      </c>
      <c r="K1406" s="3">
        <v>25</v>
      </c>
      <c r="L1406" s="3">
        <v>24</v>
      </c>
      <c r="M1406" s="3">
        <v>0</v>
      </c>
      <c r="N1406" s="3">
        <v>0</v>
      </c>
      <c r="O1406" s="3">
        <v>1</v>
      </c>
      <c r="P1406" s="3">
        <f t="shared" si="0"/>
        <v>0</v>
      </c>
      <c r="Q1406" s="3">
        <f t="shared" si="1"/>
        <v>96</v>
      </c>
      <c r="R1406" s="3">
        <f t="shared" si="2"/>
        <v>4</v>
      </c>
      <c r="S1406" s="11">
        <f>AVERAGE(Q1406:Q1409)</f>
        <v>98</v>
      </c>
      <c r="T1406" s="7">
        <f>AVERAGE(R1406:R1409)</f>
        <v>2</v>
      </c>
      <c r="U1406" s="8">
        <f>(L1406+L1407+L1408+L1409+O1406+O1407+O1408+O1409)/(K1406+K1407+K1408+K1409)*100</f>
        <v>100</v>
      </c>
    </row>
    <row r="1407" ht="13.5" customHeight="1" spans="1:19">
      <c r="A1407" s="3" t="s">
        <v>93</v>
      </c>
      <c r="B1407" s="3">
        <v>1661</v>
      </c>
      <c r="C1407" s="3">
        <v>10216</v>
      </c>
      <c r="D1407" s="3">
        <v>0.1</v>
      </c>
      <c r="E1407" s="3" t="s">
        <v>144</v>
      </c>
      <c r="F1407" s="3" t="s">
        <v>201</v>
      </c>
      <c r="G1407" s="3" t="s">
        <v>202</v>
      </c>
      <c r="H1407" s="4" t="s">
        <v>25</v>
      </c>
      <c r="I1407" s="4" t="s">
        <v>156</v>
      </c>
      <c r="J1407" s="3">
        <v>2</v>
      </c>
      <c r="K1407" s="3">
        <v>25</v>
      </c>
      <c r="L1407" s="3">
        <v>24</v>
      </c>
      <c r="M1407" s="3">
        <v>0</v>
      </c>
      <c r="N1407" s="3">
        <v>0</v>
      </c>
      <c r="O1407" s="3">
        <v>1</v>
      </c>
      <c r="P1407" s="3">
        <f t="shared" si="0"/>
        <v>0</v>
      </c>
      <c r="Q1407" s="3">
        <f t="shared" si="1"/>
        <v>96</v>
      </c>
      <c r="R1407" s="3">
        <f t="shared" si="2"/>
        <v>4</v>
      </c>
      <c r="S1407" s="11"/>
    </row>
    <row r="1408" ht="13.5" customHeight="1" spans="1:19">
      <c r="A1408" s="3" t="s">
        <v>93</v>
      </c>
      <c r="B1408" s="3">
        <v>1661</v>
      </c>
      <c r="C1408" s="3">
        <v>10216</v>
      </c>
      <c r="D1408" s="3">
        <v>0.1</v>
      </c>
      <c r="E1408" s="3" t="s">
        <v>144</v>
      </c>
      <c r="F1408" s="3" t="s">
        <v>201</v>
      </c>
      <c r="G1408" s="3" t="s">
        <v>202</v>
      </c>
      <c r="H1408" s="4" t="s">
        <v>25</v>
      </c>
      <c r="I1408" s="4" t="s">
        <v>156</v>
      </c>
      <c r="J1408" s="3">
        <v>3</v>
      </c>
      <c r="K1408" s="3">
        <v>25</v>
      </c>
      <c r="L1408" s="3">
        <v>25</v>
      </c>
      <c r="M1408" s="3">
        <v>0</v>
      </c>
      <c r="N1408" s="3">
        <v>0</v>
      </c>
      <c r="O1408" s="3">
        <v>0</v>
      </c>
      <c r="P1408" s="3">
        <f t="shared" si="0"/>
        <v>0</v>
      </c>
      <c r="Q1408" s="3">
        <f t="shared" si="1"/>
        <v>100</v>
      </c>
      <c r="R1408" s="3">
        <f t="shared" si="2"/>
        <v>0</v>
      </c>
      <c r="S1408" s="11"/>
    </row>
    <row r="1409" ht="13.5" customHeight="1" spans="1:19">
      <c r="A1409" s="3" t="s">
        <v>93</v>
      </c>
      <c r="B1409" s="3">
        <v>1661</v>
      </c>
      <c r="C1409" s="3">
        <v>10216</v>
      </c>
      <c r="D1409" s="3">
        <v>0.1</v>
      </c>
      <c r="E1409" s="3" t="s">
        <v>144</v>
      </c>
      <c r="F1409" s="3" t="s">
        <v>201</v>
      </c>
      <c r="G1409" s="3" t="s">
        <v>202</v>
      </c>
      <c r="H1409" s="4" t="s">
        <v>25</v>
      </c>
      <c r="I1409" s="4" t="s">
        <v>156</v>
      </c>
      <c r="J1409" s="3">
        <v>4</v>
      </c>
      <c r="K1409" s="3">
        <v>25</v>
      </c>
      <c r="L1409" s="3">
        <v>25</v>
      </c>
      <c r="M1409" s="3">
        <v>0</v>
      </c>
      <c r="N1409" s="3">
        <v>0</v>
      </c>
      <c r="O1409" s="3">
        <v>0</v>
      </c>
      <c r="P1409" s="3">
        <f t="shared" si="0"/>
        <v>0</v>
      </c>
      <c r="Q1409" s="3">
        <f t="shared" si="1"/>
        <v>100</v>
      </c>
      <c r="R1409" s="3">
        <f t="shared" si="2"/>
        <v>0</v>
      </c>
      <c r="S1409" s="11"/>
    </row>
    <row r="1410" ht="13.5" customHeight="1" spans="1:21">
      <c r="A1410" s="3" t="s">
        <v>32</v>
      </c>
      <c r="B1410" s="3">
        <v>1342</v>
      </c>
      <c r="C1410" s="3">
        <v>9074</v>
      </c>
      <c r="D1410" s="3">
        <v>0.1</v>
      </c>
      <c r="E1410" s="3" t="s">
        <v>191</v>
      </c>
      <c r="F1410" s="3" t="s">
        <v>203</v>
      </c>
      <c r="G1410" s="3" t="s">
        <v>193</v>
      </c>
      <c r="H1410" s="4" t="s">
        <v>40</v>
      </c>
      <c r="I1410" s="4" t="s">
        <v>156</v>
      </c>
      <c r="J1410" s="3">
        <v>1</v>
      </c>
      <c r="K1410" s="3">
        <v>25</v>
      </c>
      <c r="L1410" s="3">
        <v>2</v>
      </c>
      <c r="M1410" s="3">
        <v>4</v>
      </c>
      <c r="N1410" s="3">
        <v>0</v>
      </c>
      <c r="O1410" s="3">
        <v>19</v>
      </c>
      <c r="P1410" s="3">
        <f t="shared" si="0"/>
        <v>0</v>
      </c>
      <c r="Q1410" s="3">
        <f t="shared" si="1"/>
        <v>8</v>
      </c>
      <c r="R1410" s="3">
        <f t="shared" si="2"/>
        <v>76</v>
      </c>
      <c r="S1410" s="11">
        <f>AVERAGE(Q1410:Q1413)</f>
        <v>6.04166666666667</v>
      </c>
      <c r="T1410" s="7">
        <f>AVERAGE(R1410:R1413)</f>
        <v>88.9583333333333</v>
      </c>
      <c r="U1410" s="8">
        <f>(L1410+L1411+L1412+L1413+O1410+O1411+O1412+O1413)/(K1410+K1411+K1412+K1413)*100</f>
        <v>94</v>
      </c>
    </row>
    <row r="1411" ht="13.5" customHeight="1" spans="1:19">
      <c r="A1411" s="3" t="s">
        <v>32</v>
      </c>
      <c r="B1411" s="3">
        <v>1342</v>
      </c>
      <c r="C1411" s="3">
        <v>9074</v>
      </c>
      <c r="D1411" s="3">
        <v>0.1</v>
      </c>
      <c r="E1411" s="3" t="s">
        <v>191</v>
      </c>
      <c r="F1411" s="3" t="s">
        <v>203</v>
      </c>
      <c r="G1411" s="3" t="s">
        <v>193</v>
      </c>
      <c r="H1411" s="4" t="s">
        <v>40</v>
      </c>
      <c r="I1411" s="4" t="s">
        <v>156</v>
      </c>
      <c r="J1411" s="3">
        <v>2</v>
      </c>
      <c r="K1411" s="3">
        <v>25</v>
      </c>
      <c r="L1411" s="3">
        <v>2</v>
      </c>
      <c r="M1411" s="3">
        <v>0</v>
      </c>
      <c r="N1411" s="3">
        <v>0</v>
      </c>
      <c r="O1411" s="3">
        <v>23</v>
      </c>
      <c r="P1411" s="3">
        <f t="shared" si="0"/>
        <v>0</v>
      </c>
      <c r="Q1411" s="3">
        <f t="shared" si="1"/>
        <v>8</v>
      </c>
      <c r="R1411" s="3">
        <f t="shared" si="2"/>
        <v>92</v>
      </c>
      <c r="S1411" s="11"/>
    </row>
    <row r="1412" ht="13.5" customHeight="1" spans="1:19">
      <c r="A1412" s="3" t="s">
        <v>32</v>
      </c>
      <c r="B1412" s="3">
        <v>1342</v>
      </c>
      <c r="C1412" s="3">
        <v>9074</v>
      </c>
      <c r="D1412" s="3">
        <v>0.1</v>
      </c>
      <c r="E1412" s="3" t="s">
        <v>191</v>
      </c>
      <c r="F1412" s="3" t="s">
        <v>203</v>
      </c>
      <c r="G1412" s="3" t="s">
        <v>193</v>
      </c>
      <c r="H1412" s="4" t="s">
        <v>40</v>
      </c>
      <c r="I1412" s="4" t="s">
        <v>156</v>
      </c>
      <c r="J1412" s="3">
        <v>3</v>
      </c>
      <c r="K1412" s="3">
        <v>25</v>
      </c>
      <c r="L1412" s="3">
        <v>1</v>
      </c>
      <c r="M1412" s="3">
        <v>0</v>
      </c>
      <c r="N1412" s="3">
        <v>1</v>
      </c>
      <c r="O1412" s="3">
        <v>23</v>
      </c>
      <c r="P1412" s="3">
        <f t="shared" si="0"/>
        <v>0</v>
      </c>
      <c r="Q1412" s="3">
        <f t="shared" si="1"/>
        <v>4.16666666666667</v>
      </c>
      <c r="R1412" s="3">
        <f t="shared" si="2"/>
        <v>95.8333333333333</v>
      </c>
      <c r="S1412" s="11"/>
    </row>
    <row r="1413" ht="13.5" customHeight="1" spans="1:19">
      <c r="A1413" s="3" t="s">
        <v>32</v>
      </c>
      <c r="B1413" s="3">
        <v>1342</v>
      </c>
      <c r="C1413" s="3">
        <v>9074</v>
      </c>
      <c r="D1413" s="3">
        <v>0.1</v>
      </c>
      <c r="E1413" s="3" t="s">
        <v>191</v>
      </c>
      <c r="F1413" s="3" t="s">
        <v>203</v>
      </c>
      <c r="G1413" s="3" t="s">
        <v>193</v>
      </c>
      <c r="H1413" s="4" t="s">
        <v>40</v>
      </c>
      <c r="I1413" s="4" t="s">
        <v>156</v>
      </c>
      <c r="J1413" s="3">
        <v>4</v>
      </c>
      <c r="K1413" s="3">
        <v>25</v>
      </c>
      <c r="L1413" s="3">
        <v>1</v>
      </c>
      <c r="M1413" s="3">
        <v>1</v>
      </c>
      <c r="N1413" s="3">
        <v>0</v>
      </c>
      <c r="O1413" s="3">
        <v>23</v>
      </c>
      <c r="P1413" s="3">
        <f t="shared" si="0"/>
        <v>0</v>
      </c>
      <c r="Q1413" s="3">
        <f t="shared" si="1"/>
        <v>4</v>
      </c>
      <c r="R1413" s="3">
        <f t="shared" si="2"/>
        <v>92</v>
      </c>
      <c r="S1413" s="11"/>
    </row>
    <row r="1414" ht="13.5" customHeight="1" spans="1:21">
      <c r="A1414" s="3" t="s">
        <v>42</v>
      </c>
      <c r="B1414" s="3">
        <v>1441</v>
      </c>
      <c r="C1414" s="3">
        <v>9420</v>
      </c>
      <c r="D1414" s="3">
        <v>0.1</v>
      </c>
      <c r="E1414" s="3" t="s">
        <v>197</v>
      </c>
      <c r="F1414" s="3" t="s">
        <v>204</v>
      </c>
      <c r="G1414" s="3" t="s">
        <v>198</v>
      </c>
      <c r="H1414" s="4" t="s">
        <v>25</v>
      </c>
      <c r="I1414" s="4" t="s">
        <v>156</v>
      </c>
      <c r="J1414" s="3">
        <v>1</v>
      </c>
      <c r="K1414" s="3">
        <v>25</v>
      </c>
      <c r="L1414" s="3">
        <v>21</v>
      </c>
      <c r="M1414" s="3">
        <v>0</v>
      </c>
      <c r="N1414" s="3">
        <v>4</v>
      </c>
      <c r="O1414" s="3">
        <v>0</v>
      </c>
      <c r="P1414" s="3">
        <f t="shared" si="0"/>
        <v>0</v>
      </c>
      <c r="Q1414" s="3">
        <f t="shared" si="1"/>
        <v>100</v>
      </c>
      <c r="R1414" s="3">
        <f t="shared" si="2"/>
        <v>0</v>
      </c>
      <c r="S1414" s="11">
        <f>AVERAGE(Q1414:Q1417)</f>
        <v>95.3416149068323</v>
      </c>
      <c r="T1414" s="7">
        <f>AVERAGE(R1414:R1417)</f>
        <v>3.46790890269151</v>
      </c>
      <c r="U1414" s="8">
        <f>(L1414+L1415+L1416+L1417+O1414+O1415+O1416+O1417)/(K1414+K1415+K1416+K1417)*100</f>
        <v>85</v>
      </c>
    </row>
    <row r="1415" ht="13.5" customHeight="1" spans="1:19">
      <c r="A1415" s="3" t="s">
        <v>42</v>
      </c>
      <c r="B1415" s="3">
        <v>1441</v>
      </c>
      <c r="C1415" s="3">
        <v>9420</v>
      </c>
      <c r="D1415" s="3">
        <v>0.1</v>
      </c>
      <c r="E1415" s="3" t="s">
        <v>197</v>
      </c>
      <c r="F1415" s="3" t="s">
        <v>204</v>
      </c>
      <c r="G1415" s="3" t="s">
        <v>198</v>
      </c>
      <c r="H1415" s="4" t="s">
        <v>25</v>
      </c>
      <c r="I1415" s="4" t="s">
        <v>156</v>
      </c>
      <c r="J1415" s="3">
        <v>2</v>
      </c>
      <c r="K1415" s="3">
        <v>25</v>
      </c>
      <c r="L1415" s="3">
        <v>21</v>
      </c>
      <c r="M1415" s="3">
        <v>0</v>
      </c>
      <c r="N1415" s="3">
        <v>4</v>
      </c>
      <c r="O1415" s="3">
        <v>0</v>
      </c>
      <c r="P1415" s="3">
        <f t="shared" si="0"/>
        <v>0</v>
      </c>
      <c r="Q1415" s="3">
        <f t="shared" si="1"/>
        <v>100</v>
      </c>
      <c r="R1415" s="3">
        <f t="shared" si="2"/>
        <v>0</v>
      </c>
      <c r="S1415" s="11"/>
    </row>
    <row r="1416" ht="13.5" customHeight="1" spans="1:19">
      <c r="A1416" s="3" t="s">
        <v>42</v>
      </c>
      <c r="B1416" s="3">
        <v>1441</v>
      </c>
      <c r="C1416" s="3">
        <v>9420</v>
      </c>
      <c r="D1416" s="3">
        <v>0.1</v>
      </c>
      <c r="E1416" s="3" t="s">
        <v>197</v>
      </c>
      <c r="F1416" s="3" t="s">
        <v>204</v>
      </c>
      <c r="G1416" s="3" t="s">
        <v>198</v>
      </c>
      <c r="H1416" s="4" t="s">
        <v>25</v>
      </c>
      <c r="I1416" s="4" t="s">
        <v>156</v>
      </c>
      <c r="J1416" s="3">
        <v>3</v>
      </c>
      <c r="K1416" s="3">
        <v>25</v>
      </c>
      <c r="L1416" s="3">
        <v>18</v>
      </c>
      <c r="M1416" s="3">
        <v>1</v>
      </c>
      <c r="N1416" s="3">
        <v>4</v>
      </c>
      <c r="O1416" s="3">
        <v>2</v>
      </c>
      <c r="P1416" s="3">
        <f t="shared" si="0"/>
        <v>0</v>
      </c>
      <c r="Q1416" s="3">
        <f t="shared" si="1"/>
        <v>85.7142857142857</v>
      </c>
      <c r="R1416" s="3">
        <f t="shared" si="2"/>
        <v>9.52380952380952</v>
      </c>
      <c r="S1416" s="11"/>
    </row>
    <row r="1417" ht="13.5" customHeight="1" spans="1:19">
      <c r="A1417" s="3" t="s">
        <v>42</v>
      </c>
      <c r="B1417" s="3">
        <v>1441</v>
      </c>
      <c r="C1417" s="3">
        <v>9420</v>
      </c>
      <c r="D1417" s="3">
        <v>0.1</v>
      </c>
      <c r="E1417" s="3" t="s">
        <v>197</v>
      </c>
      <c r="F1417" s="3" t="s">
        <v>204</v>
      </c>
      <c r="G1417" s="3" t="s">
        <v>198</v>
      </c>
      <c r="H1417" s="4" t="s">
        <v>25</v>
      </c>
      <c r="I1417" s="4" t="s">
        <v>156</v>
      </c>
      <c r="J1417" s="3">
        <v>4</v>
      </c>
      <c r="K1417" s="3">
        <v>25</v>
      </c>
      <c r="L1417" s="3">
        <v>22</v>
      </c>
      <c r="M1417" s="3">
        <v>0</v>
      </c>
      <c r="N1417" s="3">
        <v>2</v>
      </c>
      <c r="O1417" s="3">
        <v>1</v>
      </c>
      <c r="P1417" s="3">
        <f t="shared" si="0"/>
        <v>0</v>
      </c>
      <c r="Q1417" s="3">
        <f t="shared" si="1"/>
        <v>95.6521739130435</v>
      </c>
      <c r="R1417" s="3">
        <f t="shared" si="2"/>
        <v>4.34782608695652</v>
      </c>
      <c r="S1417" s="11"/>
    </row>
    <row r="1418" ht="13.5" customHeight="1" spans="1:21">
      <c r="A1418" s="3" t="s">
        <v>47</v>
      </c>
      <c r="B1418" s="3">
        <v>1504</v>
      </c>
      <c r="C1418" s="3">
        <v>9859</v>
      </c>
      <c r="D1418" s="3">
        <v>0.1</v>
      </c>
      <c r="E1418" s="3" t="s">
        <v>194</v>
      </c>
      <c r="F1418" s="3" t="s">
        <v>204</v>
      </c>
      <c r="G1418" s="3" t="s">
        <v>196</v>
      </c>
      <c r="H1418" s="4" t="s">
        <v>25</v>
      </c>
      <c r="I1418" s="4" t="s">
        <v>156</v>
      </c>
      <c r="J1418" s="3">
        <v>1</v>
      </c>
      <c r="K1418" s="3">
        <v>25</v>
      </c>
      <c r="L1418" s="3">
        <v>23</v>
      </c>
      <c r="M1418" s="3">
        <v>1</v>
      </c>
      <c r="N1418" s="3">
        <v>0</v>
      </c>
      <c r="O1418" s="3">
        <v>1</v>
      </c>
      <c r="P1418" s="3">
        <f t="shared" si="0"/>
        <v>0</v>
      </c>
      <c r="Q1418" s="3">
        <f t="shared" si="1"/>
        <v>92</v>
      </c>
      <c r="R1418" s="3">
        <f t="shared" si="2"/>
        <v>4</v>
      </c>
      <c r="S1418" s="11">
        <f>AVERAGE(Q1418:Q1421)</f>
        <v>90</v>
      </c>
      <c r="T1418" s="7">
        <f>AVERAGE(R1418:R1421)</f>
        <v>3</v>
      </c>
      <c r="U1418" s="8">
        <f>(L1418+L1419+L1420+L1421+O1418+O1419+O1420+O1421)/(K1418+K1419+K1420+K1421)*100</f>
        <v>93</v>
      </c>
    </row>
    <row r="1419" ht="13.5" customHeight="1" spans="1:19">
      <c r="A1419" s="3" t="s">
        <v>47</v>
      </c>
      <c r="B1419" s="3">
        <v>1504</v>
      </c>
      <c r="C1419" s="3">
        <v>9859</v>
      </c>
      <c r="D1419" s="3">
        <v>0.1</v>
      </c>
      <c r="E1419" s="3" t="s">
        <v>194</v>
      </c>
      <c r="F1419" s="3" t="s">
        <v>204</v>
      </c>
      <c r="G1419" s="3" t="s">
        <v>196</v>
      </c>
      <c r="H1419" s="4" t="s">
        <v>25</v>
      </c>
      <c r="I1419" s="4" t="s">
        <v>156</v>
      </c>
      <c r="J1419" s="3">
        <v>2</v>
      </c>
      <c r="K1419" s="3">
        <v>25</v>
      </c>
      <c r="L1419" s="3">
        <v>24</v>
      </c>
      <c r="M1419" s="3">
        <v>0</v>
      </c>
      <c r="N1419" s="3">
        <v>0</v>
      </c>
      <c r="O1419" s="3">
        <v>1</v>
      </c>
      <c r="P1419" s="3">
        <f t="shared" si="0"/>
        <v>0</v>
      </c>
      <c r="Q1419" s="3">
        <f t="shared" si="1"/>
        <v>96</v>
      </c>
      <c r="R1419" s="3">
        <f t="shared" si="2"/>
        <v>4</v>
      </c>
      <c r="S1419" s="11"/>
    </row>
    <row r="1420" ht="13.5" customHeight="1" spans="1:19">
      <c r="A1420" s="3" t="s">
        <v>47</v>
      </c>
      <c r="B1420" s="3">
        <v>1504</v>
      </c>
      <c r="C1420" s="3">
        <v>9859</v>
      </c>
      <c r="D1420" s="3">
        <v>0.1</v>
      </c>
      <c r="E1420" s="3" t="s">
        <v>194</v>
      </c>
      <c r="F1420" s="3" t="s">
        <v>204</v>
      </c>
      <c r="G1420" s="3" t="s">
        <v>196</v>
      </c>
      <c r="H1420" s="4" t="s">
        <v>25</v>
      </c>
      <c r="I1420" s="4" t="s">
        <v>156</v>
      </c>
      <c r="J1420" s="3">
        <v>3</v>
      </c>
      <c r="K1420" s="3">
        <v>25</v>
      </c>
      <c r="L1420" s="3">
        <v>22</v>
      </c>
      <c r="M1420" s="3">
        <v>3</v>
      </c>
      <c r="N1420" s="3">
        <v>0</v>
      </c>
      <c r="O1420" s="3">
        <v>0</v>
      </c>
      <c r="P1420" s="3">
        <f t="shared" si="0"/>
        <v>0</v>
      </c>
      <c r="Q1420" s="3">
        <f t="shared" si="1"/>
        <v>88</v>
      </c>
      <c r="R1420" s="3">
        <f t="shared" si="2"/>
        <v>0</v>
      </c>
      <c r="S1420" s="11"/>
    </row>
    <row r="1421" ht="13.5" customHeight="1" spans="1:19">
      <c r="A1421" s="3" t="s">
        <v>47</v>
      </c>
      <c r="B1421" s="3">
        <v>1504</v>
      </c>
      <c r="C1421" s="3">
        <v>9859</v>
      </c>
      <c r="D1421" s="3">
        <v>0.1</v>
      </c>
      <c r="E1421" s="3" t="s">
        <v>194</v>
      </c>
      <c r="F1421" s="3" t="s">
        <v>204</v>
      </c>
      <c r="G1421" s="3" t="s">
        <v>196</v>
      </c>
      <c r="H1421" s="4" t="s">
        <v>25</v>
      </c>
      <c r="I1421" s="4" t="s">
        <v>156</v>
      </c>
      <c r="J1421" s="3">
        <v>4</v>
      </c>
      <c r="K1421" s="3">
        <v>25</v>
      </c>
      <c r="L1421" s="3">
        <v>21</v>
      </c>
      <c r="M1421" s="3">
        <v>3</v>
      </c>
      <c r="N1421" s="3">
        <v>0</v>
      </c>
      <c r="O1421" s="3">
        <v>1</v>
      </c>
      <c r="P1421" s="3">
        <f t="shared" si="0"/>
        <v>0</v>
      </c>
      <c r="Q1421" s="3">
        <f t="shared" si="1"/>
        <v>84</v>
      </c>
      <c r="R1421" s="3">
        <f t="shared" si="2"/>
        <v>4</v>
      </c>
      <c r="S1421" s="11"/>
    </row>
    <row r="1422" ht="13.5" customHeight="1" spans="1:21">
      <c r="A1422" s="3" t="s">
        <v>36</v>
      </c>
      <c r="B1422" s="3">
        <v>1294</v>
      </c>
      <c r="C1422" s="3">
        <v>8842</v>
      </c>
      <c r="D1422" s="3">
        <v>0.1</v>
      </c>
      <c r="E1422" s="3" t="s">
        <v>194</v>
      </c>
      <c r="F1422" s="3" t="s">
        <v>204</v>
      </c>
      <c r="G1422" s="3" t="s">
        <v>196</v>
      </c>
      <c r="H1422" s="4" t="s">
        <v>25</v>
      </c>
      <c r="I1422" s="4" t="s">
        <v>156</v>
      </c>
      <c r="J1422" s="3">
        <v>1</v>
      </c>
      <c r="K1422" s="3">
        <v>25</v>
      </c>
      <c r="L1422" s="3">
        <v>4</v>
      </c>
      <c r="M1422" s="3">
        <v>4</v>
      </c>
      <c r="N1422" s="3">
        <v>17</v>
      </c>
      <c r="O1422" s="3">
        <v>0</v>
      </c>
      <c r="P1422" s="3">
        <f t="shared" si="0"/>
        <v>0</v>
      </c>
      <c r="Q1422" s="3">
        <f t="shared" si="1"/>
        <v>50</v>
      </c>
      <c r="R1422" s="3">
        <f t="shared" si="2"/>
        <v>0</v>
      </c>
      <c r="S1422" s="11">
        <f>AVERAGE(Q1422:Q1425)</f>
        <v>66.8956043956044</v>
      </c>
      <c r="T1422" s="7">
        <f>AVERAGE(R1422:R1425)</f>
        <v>5.76923076923078</v>
      </c>
      <c r="U1422" s="8">
        <f>(L1422+L1423+L1424+L1425+O1422+O1423+O1424+O1425)/(K1422+K1423+K1424+K1425)*100</f>
        <v>36</v>
      </c>
    </row>
    <row r="1423" ht="13.5" customHeight="1" spans="1:19">
      <c r="A1423" s="3" t="s">
        <v>36</v>
      </c>
      <c r="B1423" s="3">
        <v>1294</v>
      </c>
      <c r="C1423" s="3">
        <v>8842</v>
      </c>
      <c r="D1423" s="3">
        <v>0.1</v>
      </c>
      <c r="E1423" s="3" t="s">
        <v>194</v>
      </c>
      <c r="F1423" s="3" t="s">
        <v>204</v>
      </c>
      <c r="G1423" s="3" t="s">
        <v>196</v>
      </c>
      <c r="H1423" s="4" t="s">
        <v>25</v>
      </c>
      <c r="I1423" s="4" t="s">
        <v>156</v>
      </c>
      <c r="J1423" s="3">
        <v>2</v>
      </c>
      <c r="K1423" s="3">
        <v>25</v>
      </c>
      <c r="L1423" s="3">
        <v>13</v>
      </c>
      <c r="M1423" s="3">
        <v>0</v>
      </c>
      <c r="N1423" s="3">
        <v>12</v>
      </c>
      <c r="O1423" s="3">
        <v>0</v>
      </c>
      <c r="P1423" s="3">
        <f t="shared" si="0"/>
        <v>0</v>
      </c>
      <c r="Q1423" s="3">
        <f t="shared" si="1"/>
        <v>100</v>
      </c>
      <c r="R1423" s="3">
        <f t="shared" si="2"/>
        <v>0</v>
      </c>
      <c r="S1423" s="11"/>
    </row>
    <row r="1424" ht="13.5" customHeight="1" spans="1:19">
      <c r="A1424" s="3" t="s">
        <v>36</v>
      </c>
      <c r="B1424" s="3">
        <v>1294</v>
      </c>
      <c r="C1424" s="3">
        <v>8842</v>
      </c>
      <c r="D1424" s="3">
        <v>0.1</v>
      </c>
      <c r="E1424" s="3" t="s">
        <v>194</v>
      </c>
      <c r="F1424" s="3" t="s">
        <v>204</v>
      </c>
      <c r="G1424" s="3" t="s">
        <v>196</v>
      </c>
      <c r="H1424" s="4" t="s">
        <v>25</v>
      </c>
      <c r="I1424" s="4" t="s">
        <v>156</v>
      </c>
      <c r="J1424" s="3">
        <v>3</v>
      </c>
      <c r="K1424" s="3">
        <v>25</v>
      </c>
      <c r="L1424" s="3">
        <v>10</v>
      </c>
      <c r="M1424" s="3">
        <v>4</v>
      </c>
      <c r="N1424" s="3">
        <v>11</v>
      </c>
      <c r="O1424" s="3">
        <v>0</v>
      </c>
      <c r="P1424" s="3">
        <f t="shared" si="0"/>
        <v>0</v>
      </c>
      <c r="Q1424" s="3">
        <f t="shared" si="1"/>
        <v>71.4285714285714</v>
      </c>
      <c r="R1424" s="3">
        <f t="shared" si="2"/>
        <v>0</v>
      </c>
      <c r="S1424" s="11"/>
    </row>
    <row r="1425" ht="13.5" customHeight="1" spans="1:19">
      <c r="A1425" s="3" t="s">
        <v>36</v>
      </c>
      <c r="B1425" s="3">
        <v>1294</v>
      </c>
      <c r="C1425" s="3">
        <v>8842</v>
      </c>
      <c r="D1425" s="3">
        <v>0.1</v>
      </c>
      <c r="E1425" s="3" t="s">
        <v>194</v>
      </c>
      <c r="F1425" s="3" t="s">
        <v>204</v>
      </c>
      <c r="G1425" s="3" t="s">
        <v>196</v>
      </c>
      <c r="H1425" s="4" t="s">
        <v>25</v>
      </c>
      <c r="I1425" s="4" t="s">
        <v>156</v>
      </c>
      <c r="J1425" s="3">
        <v>4</v>
      </c>
      <c r="K1425" s="3">
        <v>25</v>
      </c>
      <c r="L1425" s="3">
        <v>6</v>
      </c>
      <c r="M1425" s="3">
        <v>4</v>
      </c>
      <c r="N1425" s="3">
        <v>12</v>
      </c>
      <c r="O1425" s="3">
        <v>3</v>
      </c>
      <c r="P1425" s="3">
        <f t="shared" si="0"/>
        <v>0</v>
      </c>
      <c r="Q1425" s="3">
        <f t="shared" si="1"/>
        <v>46.1538461538462</v>
      </c>
      <c r="R1425" s="3">
        <f t="shared" si="2"/>
        <v>23.0769230769231</v>
      </c>
      <c r="S1425" s="11"/>
    </row>
    <row r="1426" ht="13.5" customHeight="1" spans="1:21">
      <c r="A1426" s="3" t="s">
        <v>117</v>
      </c>
      <c r="B1426" s="3">
        <v>1001</v>
      </c>
      <c r="C1426" s="3">
        <v>4887</v>
      </c>
      <c r="D1426" s="3">
        <v>2</v>
      </c>
      <c r="E1426" s="3" t="s">
        <v>144</v>
      </c>
      <c r="F1426" s="3" t="s">
        <v>205</v>
      </c>
      <c r="G1426" s="3" t="s">
        <v>206</v>
      </c>
      <c r="H1426" s="4" t="s">
        <v>147</v>
      </c>
      <c r="I1426" s="4" t="s">
        <v>156</v>
      </c>
      <c r="J1426" s="3">
        <v>1</v>
      </c>
      <c r="K1426" s="3">
        <v>25</v>
      </c>
      <c r="L1426" s="3">
        <v>10</v>
      </c>
      <c r="M1426" s="3">
        <v>9</v>
      </c>
      <c r="N1426" s="3">
        <v>1</v>
      </c>
      <c r="O1426" s="3">
        <v>5</v>
      </c>
      <c r="P1426" s="3">
        <f t="shared" si="0"/>
        <v>0</v>
      </c>
      <c r="Q1426" s="3">
        <f t="shared" si="1"/>
        <v>41.6666666666667</v>
      </c>
      <c r="R1426" s="3">
        <f t="shared" si="2"/>
        <v>20.8333333333333</v>
      </c>
      <c r="S1426" s="11">
        <f>AVERAGE(Q1426:Q1429)</f>
        <v>46.3768115942029</v>
      </c>
      <c r="T1426" s="7">
        <f>AVERAGE(R1426:R1429)</f>
        <v>31.5670289855072</v>
      </c>
      <c r="U1426" s="8">
        <f>(L1426+L1427+L1428+L1429+O1426+O1427+O1428+O1429)/(K1426+K1427+K1428+K1429)*100</f>
        <v>74</v>
      </c>
    </row>
    <row r="1427" ht="13.5" customHeight="1" spans="1:19">
      <c r="A1427" s="3" t="s">
        <v>117</v>
      </c>
      <c r="B1427" s="3">
        <v>1001</v>
      </c>
      <c r="C1427" s="3">
        <v>4887</v>
      </c>
      <c r="D1427" s="3">
        <v>2</v>
      </c>
      <c r="E1427" s="3" t="s">
        <v>144</v>
      </c>
      <c r="F1427" s="3" t="s">
        <v>205</v>
      </c>
      <c r="G1427" s="3" t="s">
        <v>206</v>
      </c>
      <c r="H1427" s="4" t="s">
        <v>147</v>
      </c>
      <c r="I1427" s="4" t="s">
        <v>156</v>
      </c>
      <c r="J1427" s="3">
        <v>2</v>
      </c>
      <c r="K1427" s="3">
        <v>25</v>
      </c>
      <c r="L1427" s="3">
        <v>12</v>
      </c>
      <c r="M1427" s="3">
        <v>4</v>
      </c>
      <c r="N1427" s="3">
        <v>2</v>
      </c>
      <c r="O1427" s="3">
        <v>7</v>
      </c>
      <c r="P1427" s="3">
        <f t="shared" si="0"/>
        <v>0</v>
      </c>
      <c r="Q1427" s="3">
        <f t="shared" si="1"/>
        <v>52.1739130434783</v>
      </c>
      <c r="R1427" s="3">
        <f t="shared" si="2"/>
        <v>30.4347826086957</v>
      </c>
      <c r="S1427" s="11"/>
    </row>
    <row r="1428" ht="13.5" customHeight="1" spans="1:19">
      <c r="A1428" s="3" t="s">
        <v>117</v>
      </c>
      <c r="B1428" s="3">
        <v>1001</v>
      </c>
      <c r="C1428" s="3">
        <v>4887</v>
      </c>
      <c r="D1428" s="3">
        <v>2</v>
      </c>
      <c r="E1428" s="3" t="s">
        <v>144</v>
      </c>
      <c r="F1428" s="3" t="s">
        <v>205</v>
      </c>
      <c r="G1428" s="3" t="s">
        <v>206</v>
      </c>
      <c r="H1428" s="4" t="s">
        <v>147</v>
      </c>
      <c r="I1428" s="4" t="s">
        <v>156</v>
      </c>
      <c r="J1428" s="3">
        <v>3</v>
      </c>
      <c r="K1428" s="3">
        <v>25</v>
      </c>
      <c r="L1428" s="3">
        <v>10</v>
      </c>
      <c r="M1428" s="3">
        <v>4</v>
      </c>
      <c r="N1428" s="3">
        <v>1</v>
      </c>
      <c r="O1428" s="3">
        <v>10</v>
      </c>
      <c r="P1428" s="3">
        <f t="shared" si="0"/>
        <v>0</v>
      </c>
      <c r="Q1428" s="3">
        <f t="shared" si="1"/>
        <v>41.6666666666667</v>
      </c>
      <c r="R1428" s="3">
        <f t="shared" si="2"/>
        <v>41.6666666666667</v>
      </c>
      <c r="S1428" s="11"/>
    </row>
    <row r="1429" ht="13.5" customHeight="1" spans="1:19">
      <c r="A1429" s="3" t="s">
        <v>117</v>
      </c>
      <c r="B1429" s="3">
        <v>1001</v>
      </c>
      <c r="C1429" s="3">
        <v>4887</v>
      </c>
      <c r="D1429" s="3">
        <v>2</v>
      </c>
      <c r="E1429" s="3" t="s">
        <v>144</v>
      </c>
      <c r="F1429" s="3" t="s">
        <v>205</v>
      </c>
      <c r="G1429" s="3" t="s">
        <v>206</v>
      </c>
      <c r="H1429" s="4" t="s">
        <v>147</v>
      </c>
      <c r="I1429" s="4" t="s">
        <v>156</v>
      </c>
      <c r="J1429" s="3">
        <v>4</v>
      </c>
      <c r="K1429" s="3">
        <v>25</v>
      </c>
      <c r="L1429" s="3">
        <v>12</v>
      </c>
      <c r="M1429" s="3">
        <v>4</v>
      </c>
      <c r="N1429" s="3">
        <v>1</v>
      </c>
      <c r="O1429" s="3">
        <v>8</v>
      </c>
      <c r="P1429" s="3">
        <f t="shared" si="0"/>
        <v>0</v>
      </c>
      <c r="Q1429" s="3">
        <f t="shared" si="1"/>
        <v>50</v>
      </c>
      <c r="R1429" s="3">
        <f t="shared" si="2"/>
        <v>33.3333333333333</v>
      </c>
      <c r="S1429" s="11"/>
    </row>
    <row r="1430" ht="13.5" customHeight="1" spans="1:21">
      <c r="A1430" s="3" t="s">
        <v>57</v>
      </c>
      <c r="B1430" s="3">
        <v>1847</v>
      </c>
      <c r="C1430" s="3">
        <v>10763</v>
      </c>
      <c r="D1430" s="3">
        <v>1</v>
      </c>
      <c r="E1430" s="3" t="s">
        <v>144</v>
      </c>
      <c r="F1430" s="3" t="s">
        <v>145</v>
      </c>
      <c r="G1430" s="3" t="s">
        <v>146</v>
      </c>
      <c r="H1430" s="4" t="s">
        <v>147</v>
      </c>
      <c r="I1430" s="4" t="s">
        <v>156</v>
      </c>
      <c r="J1430" s="3">
        <v>1</v>
      </c>
      <c r="K1430" s="3">
        <v>25</v>
      </c>
      <c r="L1430" s="3">
        <v>19</v>
      </c>
      <c r="M1430" s="3">
        <v>1</v>
      </c>
      <c r="N1430" s="3">
        <v>0</v>
      </c>
      <c r="O1430" s="3">
        <v>5</v>
      </c>
      <c r="P1430" s="3">
        <f t="shared" si="0"/>
        <v>0</v>
      </c>
      <c r="Q1430" s="3">
        <f t="shared" si="1"/>
        <v>76</v>
      </c>
      <c r="R1430" s="3">
        <f t="shared" si="2"/>
        <v>20</v>
      </c>
      <c r="S1430" s="11">
        <f>AVERAGE(Q1430:Q1433)</f>
        <v>75</v>
      </c>
      <c r="T1430" s="7">
        <f>AVERAGE(R1430:R1433)</f>
        <v>19</v>
      </c>
      <c r="U1430" s="8">
        <f>(L1430+L1431+L1432+L1433+O1430+O1431+O1432+O1433)/(K1430+K1431+K1432+K1433)*100</f>
        <v>94</v>
      </c>
    </row>
    <row r="1431" ht="13.5" customHeight="1" spans="1:19">
      <c r="A1431" s="3" t="s">
        <v>57</v>
      </c>
      <c r="B1431" s="3">
        <v>1847</v>
      </c>
      <c r="C1431" s="3">
        <v>10763</v>
      </c>
      <c r="D1431" s="3">
        <v>1</v>
      </c>
      <c r="E1431" s="3" t="s">
        <v>144</v>
      </c>
      <c r="F1431" s="3" t="s">
        <v>145</v>
      </c>
      <c r="G1431" s="3" t="s">
        <v>146</v>
      </c>
      <c r="H1431" s="4" t="s">
        <v>147</v>
      </c>
      <c r="I1431" s="4" t="s">
        <v>156</v>
      </c>
      <c r="J1431" s="3">
        <v>2</v>
      </c>
      <c r="K1431" s="3">
        <v>25</v>
      </c>
      <c r="L1431" s="3">
        <v>22</v>
      </c>
      <c r="M1431" s="3">
        <v>0</v>
      </c>
      <c r="N1431" s="3">
        <v>0</v>
      </c>
      <c r="O1431" s="3">
        <v>3</v>
      </c>
      <c r="P1431" s="3">
        <f t="shared" si="0"/>
        <v>0</v>
      </c>
      <c r="Q1431" s="3">
        <f t="shared" si="1"/>
        <v>88</v>
      </c>
      <c r="R1431" s="3">
        <f t="shared" si="2"/>
        <v>12</v>
      </c>
      <c r="S1431" s="11"/>
    </row>
    <row r="1432" ht="13.5" customHeight="1" spans="1:19">
      <c r="A1432" s="3" t="s">
        <v>57</v>
      </c>
      <c r="B1432" s="3">
        <v>1847</v>
      </c>
      <c r="C1432" s="3">
        <v>10763</v>
      </c>
      <c r="D1432" s="3">
        <v>1</v>
      </c>
      <c r="E1432" s="3" t="s">
        <v>144</v>
      </c>
      <c r="F1432" s="3" t="s">
        <v>145</v>
      </c>
      <c r="G1432" s="3" t="s">
        <v>146</v>
      </c>
      <c r="H1432" s="4" t="s">
        <v>147</v>
      </c>
      <c r="I1432" s="4" t="s">
        <v>156</v>
      </c>
      <c r="J1432" s="3">
        <v>3</v>
      </c>
      <c r="K1432" s="3">
        <v>25</v>
      </c>
      <c r="L1432" s="3">
        <v>16</v>
      </c>
      <c r="M1432" s="3">
        <v>2</v>
      </c>
      <c r="N1432" s="3">
        <v>0</v>
      </c>
      <c r="O1432" s="3">
        <v>7</v>
      </c>
      <c r="P1432" s="3">
        <f t="shared" si="0"/>
        <v>0</v>
      </c>
      <c r="Q1432" s="3">
        <f t="shared" si="1"/>
        <v>64</v>
      </c>
      <c r="R1432" s="3">
        <f t="shared" si="2"/>
        <v>28</v>
      </c>
      <c r="S1432" s="11"/>
    </row>
    <row r="1433" ht="13.5" customHeight="1" spans="1:19">
      <c r="A1433" s="3" t="s">
        <v>57</v>
      </c>
      <c r="B1433" s="3">
        <v>1847</v>
      </c>
      <c r="C1433" s="3">
        <v>10763</v>
      </c>
      <c r="D1433" s="3">
        <v>1</v>
      </c>
      <c r="E1433" s="3" t="s">
        <v>144</v>
      </c>
      <c r="F1433" s="3" t="s">
        <v>145</v>
      </c>
      <c r="G1433" s="3" t="s">
        <v>146</v>
      </c>
      <c r="H1433" s="4" t="s">
        <v>147</v>
      </c>
      <c r="I1433" s="4" t="s">
        <v>156</v>
      </c>
      <c r="J1433" s="3">
        <v>4</v>
      </c>
      <c r="K1433" s="3">
        <v>25</v>
      </c>
      <c r="L1433" s="3">
        <v>18</v>
      </c>
      <c r="M1433" s="3">
        <v>3</v>
      </c>
      <c r="N1433" s="3">
        <v>0</v>
      </c>
      <c r="O1433" s="3">
        <v>4</v>
      </c>
      <c r="P1433" s="3">
        <f t="shared" si="0"/>
        <v>0</v>
      </c>
      <c r="Q1433" s="3">
        <f t="shared" si="1"/>
        <v>72</v>
      </c>
      <c r="R1433" s="3">
        <f t="shared" si="2"/>
        <v>16</v>
      </c>
      <c r="S1433" s="11"/>
    </row>
    <row r="1434" ht="13.5" customHeight="1" spans="1:21">
      <c r="A1434" s="3" t="s">
        <v>69</v>
      </c>
      <c r="B1434" s="3">
        <v>1940</v>
      </c>
      <c r="C1434" s="3">
        <v>11126</v>
      </c>
      <c r="D1434" s="3">
        <v>3</v>
      </c>
      <c r="E1434" s="3" t="s">
        <v>144</v>
      </c>
      <c r="F1434" s="3" t="s">
        <v>207</v>
      </c>
      <c r="G1434" s="3" t="s">
        <v>208</v>
      </c>
      <c r="H1434" s="4" t="s">
        <v>31</v>
      </c>
      <c r="I1434" s="4" t="s">
        <v>156</v>
      </c>
      <c r="J1434" s="3">
        <v>1</v>
      </c>
      <c r="K1434" s="3">
        <v>25</v>
      </c>
      <c r="L1434" s="3">
        <v>22</v>
      </c>
      <c r="M1434" s="3">
        <v>2</v>
      </c>
      <c r="N1434" s="3">
        <v>0</v>
      </c>
      <c r="O1434" s="3">
        <v>1</v>
      </c>
      <c r="P1434" s="3">
        <f t="shared" si="0"/>
        <v>0</v>
      </c>
      <c r="Q1434" s="3">
        <f t="shared" si="1"/>
        <v>88</v>
      </c>
      <c r="R1434" s="3">
        <f t="shared" si="2"/>
        <v>4</v>
      </c>
      <c r="S1434" s="11">
        <f>AVERAGE(Q1434:Q1437)</f>
        <v>82.7916666666667</v>
      </c>
      <c r="T1434" s="7">
        <f>AVERAGE(R1434:R1437)</f>
        <v>3</v>
      </c>
      <c r="U1434" s="8">
        <f>(L1434+L1435+L1436+L1437+O1434+O1435+O1436+O1437)/(K1434+K1435+K1436+K1437)*100</f>
        <v>85</v>
      </c>
    </row>
    <row r="1435" ht="13.5" customHeight="1" spans="1:19">
      <c r="A1435" s="3" t="s">
        <v>69</v>
      </c>
      <c r="B1435" s="3">
        <v>1940</v>
      </c>
      <c r="C1435" s="3">
        <v>11126</v>
      </c>
      <c r="D1435" s="3">
        <v>3</v>
      </c>
      <c r="E1435" s="3" t="s">
        <v>144</v>
      </c>
      <c r="F1435" s="3" t="s">
        <v>207</v>
      </c>
      <c r="G1435" s="3" t="s">
        <v>208</v>
      </c>
      <c r="H1435" s="4" t="s">
        <v>31</v>
      </c>
      <c r="I1435" s="4" t="s">
        <v>156</v>
      </c>
      <c r="J1435" s="3">
        <v>2</v>
      </c>
      <c r="K1435" s="3">
        <v>25</v>
      </c>
      <c r="L1435" s="3">
        <v>21</v>
      </c>
      <c r="M1435" s="3">
        <v>3</v>
      </c>
      <c r="N1435" s="3">
        <v>0</v>
      </c>
      <c r="O1435" s="3">
        <v>1</v>
      </c>
      <c r="P1435" s="3">
        <f t="shared" si="0"/>
        <v>0</v>
      </c>
      <c r="Q1435" s="3">
        <f t="shared" si="1"/>
        <v>84</v>
      </c>
      <c r="R1435" s="3">
        <f t="shared" si="2"/>
        <v>4</v>
      </c>
      <c r="S1435" s="11"/>
    </row>
    <row r="1436" ht="13.5" customHeight="1" spans="1:19">
      <c r="A1436" s="3" t="s">
        <v>69</v>
      </c>
      <c r="B1436" s="3">
        <v>1940</v>
      </c>
      <c r="C1436" s="3">
        <v>11126</v>
      </c>
      <c r="D1436" s="3">
        <v>3</v>
      </c>
      <c r="E1436" s="3" t="s">
        <v>144</v>
      </c>
      <c r="F1436" s="3" t="s">
        <v>207</v>
      </c>
      <c r="G1436" s="3" t="s">
        <v>208</v>
      </c>
      <c r="H1436" s="4" t="s">
        <v>31</v>
      </c>
      <c r="I1436" s="4" t="s">
        <v>156</v>
      </c>
      <c r="J1436" s="3">
        <v>3</v>
      </c>
      <c r="K1436" s="3">
        <v>25</v>
      </c>
      <c r="L1436" s="3">
        <v>19</v>
      </c>
      <c r="M1436" s="3">
        <v>5</v>
      </c>
      <c r="N1436" s="3">
        <v>1</v>
      </c>
      <c r="O1436" s="3">
        <v>0</v>
      </c>
      <c r="P1436" s="3">
        <f t="shared" si="0"/>
        <v>0</v>
      </c>
      <c r="Q1436" s="3">
        <f t="shared" si="1"/>
        <v>79.1666666666667</v>
      </c>
      <c r="R1436" s="3">
        <f t="shared" si="2"/>
        <v>0</v>
      </c>
      <c r="S1436" s="11"/>
    </row>
    <row r="1437" ht="13.5" customHeight="1" spans="1:19">
      <c r="A1437" s="3" t="s">
        <v>69</v>
      </c>
      <c r="B1437" s="3">
        <v>1940</v>
      </c>
      <c r="C1437" s="3">
        <v>11126</v>
      </c>
      <c r="D1437" s="3">
        <v>3</v>
      </c>
      <c r="E1437" s="3" t="s">
        <v>144</v>
      </c>
      <c r="F1437" s="3" t="s">
        <v>207</v>
      </c>
      <c r="G1437" s="3" t="s">
        <v>208</v>
      </c>
      <c r="H1437" s="4" t="s">
        <v>31</v>
      </c>
      <c r="I1437" s="4" t="s">
        <v>156</v>
      </c>
      <c r="J1437" s="3">
        <v>4</v>
      </c>
      <c r="K1437" s="3">
        <v>25</v>
      </c>
      <c r="L1437" s="3">
        <v>20</v>
      </c>
      <c r="M1437" s="3">
        <v>4</v>
      </c>
      <c r="N1437" s="3">
        <v>0</v>
      </c>
      <c r="O1437" s="3">
        <v>1</v>
      </c>
      <c r="P1437" s="3">
        <f t="shared" si="0"/>
        <v>0</v>
      </c>
      <c r="Q1437" s="3">
        <f t="shared" si="1"/>
        <v>80</v>
      </c>
      <c r="R1437" s="3">
        <f t="shared" si="2"/>
        <v>4</v>
      </c>
      <c r="S1437" s="11"/>
    </row>
    <row r="1438" ht="15.75" customHeight="1" spans="1:21">
      <c r="A1438" s="3" t="s">
        <v>117</v>
      </c>
      <c r="B1438" s="3">
        <v>1001</v>
      </c>
      <c r="C1438" s="3">
        <v>4887</v>
      </c>
      <c r="D1438" s="3">
        <v>3</v>
      </c>
      <c r="E1438" s="3" t="s">
        <v>182</v>
      </c>
      <c r="F1438" s="3" t="s">
        <v>183</v>
      </c>
      <c r="G1438" s="3" t="s">
        <v>209</v>
      </c>
      <c r="H1438" s="3" t="s">
        <v>31</v>
      </c>
      <c r="I1438" s="3" t="s">
        <v>156</v>
      </c>
      <c r="J1438" s="3">
        <v>1</v>
      </c>
      <c r="K1438" s="3">
        <v>25</v>
      </c>
      <c r="L1438" s="3">
        <v>24</v>
      </c>
      <c r="M1438" s="3">
        <v>0</v>
      </c>
      <c r="N1438" s="3">
        <v>0</v>
      </c>
      <c r="O1438" s="3">
        <v>1</v>
      </c>
      <c r="P1438" s="3">
        <f t="shared" si="0"/>
        <v>0</v>
      </c>
      <c r="Q1438" s="3">
        <f t="shared" si="1"/>
        <v>96</v>
      </c>
      <c r="R1438" s="3">
        <f t="shared" si="2"/>
        <v>4</v>
      </c>
      <c r="S1438" s="11">
        <f>AVERAGE(Q1438:Q1441)</f>
        <v>97</v>
      </c>
      <c r="T1438" s="7">
        <f>AVERAGE(R1438:R1441)</f>
        <v>1</v>
      </c>
      <c r="U1438" s="8">
        <f>(L1438+L1439+L1440+L1441+O1438+O1439+O1440+O1441)/(K1438+K1439+K1440+K1441)*100</f>
        <v>98</v>
      </c>
    </row>
    <row r="1439" ht="15.75" customHeight="1" spans="1:19">
      <c r="A1439" s="3" t="s">
        <v>117</v>
      </c>
      <c r="B1439" s="3">
        <v>1001</v>
      </c>
      <c r="C1439" s="3">
        <v>4887</v>
      </c>
      <c r="D1439" s="3">
        <v>3</v>
      </c>
      <c r="E1439" s="3" t="s">
        <v>182</v>
      </c>
      <c r="F1439" s="3" t="s">
        <v>183</v>
      </c>
      <c r="G1439" s="3" t="s">
        <v>209</v>
      </c>
      <c r="H1439" s="3" t="s">
        <v>31</v>
      </c>
      <c r="I1439" s="3" t="s">
        <v>156</v>
      </c>
      <c r="J1439" s="3">
        <v>2</v>
      </c>
      <c r="K1439" s="3">
        <v>25</v>
      </c>
      <c r="L1439" s="3">
        <v>25</v>
      </c>
      <c r="M1439" s="3">
        <v>0</v>
      </c>
      <c r="N1439" s="3">
        <v>0</v>
      </c>
      <c r="O1439" s="3">
        <v>0</v>
      </c>
      <c r="P1439" s="3">
        <f t="shared" si="0"/>
        <v>0</v>
      </c>
      <c r="Q1439" s="3">
        <f t="shared" si="1"/>
        <v>100</v>
      </c>
      <c r="R1439" s="3">
        <f t="shared" si="2"/>
        <v>0</v>
      </c>
      <c r="S1439" s="11"/>
    </row>
    <row r="1440" ht="15.75" customHeight="1" spans="1:19">
      <c r="A1440" s="3" t="s">
        <v>117</v>
      </c>
      <c r="B1440" s="3">
        <v>1001</v>
      </c>
      <c r="C1440" s="3">
        <v>4887</v>
      </c>
      <c r="D1440" s="3">
        <v>3</v>
      </c>
      <c r="E1440" s="3" t="s">
        <v>182</v>
      </c>
      <c r="F1440" s="3" t="s">
        <v>183</v>
      </c>
      <c r="G1440" s="3" t="s">
        <v>209</v>
      </c>
      <c r="H1440" s="3" t="s">
        <v>31</v>
      </c>
      <c r="I1440" s="3" t="s">
        <v>156</v>
      </c>
      <c r="J1440" s="3">
        <v>3</v>
      </c>
      <c r="K1440" s="3">
        <v>25</v>
      </c>
      <c r="L1440" s="3">
        <v>25</v>
      </c>
      <c r="M1440" s="3">
        <v>0</v>
      </c>
      <c r="N1440" s="3">
        <v>0</v>
      </c>
      <c r="O1440" s="3">
        <v>0</v>
      </c>
      <c r="P1440" s="3">
        <f t="shared" si="0"/>
        <v>0</v>
      </c>
      <c r="Q1440" s="3">
        <f t="shared" si="1"/>
        <v>100</v>
      </c>
      <c r="R1440" s="3">
        <f t="shared" si="2"/>
        <v>0</v>
      </c>
      <c r="S1440" s="11"/>
    </row>
    <row r="1441" ht="15.75" customHeight="1" spans="1:19">
      <c r="A1441" s="3" t="s">
        <v>117</v>
      </c>
      <c r="B1441" s="3">
        <v>1001</v>
      </c>
      <c r="C1441" s="3">
        <v>4887</v>
      </c>
      <c r="D1441" s="3">
        <v>3</v>
      </c>
      <c r="E1441" s="3" t="s">
        <v>182</v>
      </c>
      <c r="F1441" s="3" t="s">
        <v>183</v>
      </c>
      <c r="G1441" s="3" t="s">
        <v>209</v>
      </c>
      <c r="H1441" s="3" t="s">
        <v>31</v>
      </c>
      <c r="I1441" s="3" t="s">
        <v>156</v>
      </c>
      <c r="J1441" s="3">
        <v>4</v>
      </c>
      <c r="K1441" s="3">
        <v>25</v>
      </c>
      <c r="L1441" s="3">
        <v>23</v>
      </c>
      <c r="M1441" s="3">
        <v>2</v>
      </c>
      <c r="N1441" s="3">
        <v>0</v>
      </c>
      <c r="O1441" s="3">
        <v>0</v>
      </c>
      <c r="P1441" s="3">
        <f t="shared" si="0"/>
        <v>0</v>
      </c>
      <c r="Q1441" s="3">
        <f t="shared" si="1"/>
        <v>92</v>
      </c>
      <c r="R1441" s="3">
        <f t="shared" si="2"/>
        <v>0</v>
      </c>
      <c r="S1441" s="11"/>
    </row>
    <row r="1442" ht="15.75" customHeight="1" spans="1:21">
      <c r="A1442" s="3" t="s">
        <v>117</v>
      </c>
      <c r="B1442" s="3">
        <v>1001</v>
      </c>
      <c r="C1442" s="3">
        <v>4887</v>
      </c>
      <c r="D1442" s="3">
        <v>3</v>
      </c>
      <c r="E1442" s="3" t="s">
        <v>182</v>
      </c>
      <c r="F1442" s="3" t="s">
        <v>183</v>
      </c>
      <c r="G1442" s="3" t="s">
        <v>209</v>
      </c>
      <c r="H1442" s="3" t="s">
        <v>31</v>
      </c>
      <c r="I1442" s="3" t="s">
        <v>26</v>
      </c>
      <c r="J1442" s="3">
        <v>1</v>
      </c>
      <c r="K1442" s="3">
        <v>25</v>
      </c>
      <c r="L1442" s="3">
        <v>20</v>
      </c>
      <c r="M1442" s="3">
        <v>1</v>
      </c>
      <c r="N1442" s="3">
        <v>1</v>
      </c>
      <c r="O1442" s="3">
        <v>3</v>
      </c>
      <c r="P1442" s="3">
        <f t="shared" si="0"/>
        <v>0</v>
      </c>
      <c r="Q1442" s="3">
        <f t="shared" si="1"/>
        <v>83.3333333333333</v>
      </c>
      <c r="R1442" s="3">
        <f t="shared" si="2"/>
        <v>12.5</v>
      </c>
      <c r="S1442" s="11">
        <f>AVERAGE(Q1442:Q1445)</f>
        <v>92.7916666666667</v>
      </c>
      <c r="T1442" s="7">
        <f>AVERAGE(R1442:R1445)</f>
        <v>5.16666666666667</v>
      </c>
      <c r="U1442" s="8">
        <f>(L1442+L1443+L1444+L1445+O1442+O1443+O1444+O1445)/(K1442+K1443+K1444+K1445)*100</f>
        <v>95</v>
      </c>
    </row>
    <row r="1443" ht="15.75" customHeight="1" spans="1:19">
      <c r="A1443" s="3" t="s">
        <v>117</v>
      </c>
      <c r="B1443" s="3">
        <v>1001</v>
      </c>
      <c r="C1443" s="3">
        <v>4887</v>
      </c>
      <c r="D1443" s="3">
        <v>3</v>
      </c>
      <c r="E1443" s="3" t="s">
        <v>182</v>
      </c>
      <c r="F1443" s="3" t="s">
        <v>183</v>
      </c>
      <c r="G1443" s="3" t="s">
        <v>209</v>
      </c>
      <c r="H1443" s="3" t="s">
        <v>31</v>
      </c>
      <c r="I1443" s="3" t="s">
        <v>26</v>
      </c>
      <c r="J1443" s="3">
        <v>2</v>
      </c>
      <c r="K1443" s="3">
        <v>25</v>
      </c>
      <c r="L1443" s="3">
        <v>23</v>
      </c>
      <c r="M1443" s="3">
        <v>1</v>
      </c>
      <c r="N1443" s="3">
        <v>0</v>
      </c>
      <c r="O1443" s="3">
        <v>1</v>
      </c>
      <c r="P1443" s="3">
        <f t="shared" si="0"/>
        <v>0</v>
      </c>
      <c r="Q1443" s="3">
        <f t="shared" si="1"/>
        <v>92</v>
      </c>
      <c r="R1443" s="3">
        <f t="shared" si="2"/>
        <v>4</v>
      </c>
      <c r="S1443" s="11"/>
    </row>
    <row r="1444" ht="15.75" customHeight="1" spans="1:19">
      <c r="A1444" s="3" t="s">
        <v>117</v>
      </c>
      <c r="B1444" s="3">
        <v>1001</v>
      </c>
      <c r="C1444" s="3">
        <v>4887</v>
      </c>
      <c r="D1444" s="3">
        <v>3</v>
      </c>
      <c r="E1444" s="3" t="s">
        <v>182</v>
      </c>
      <c r="F1444" s="3" t="s">
        <v>183</v>
      </c>
      <c r="G1444" s="3" t="s">
        <v>209</v>
      </c>
      <c r="H1444" s="3" t="s">
        <v>31</v>
      </c>
      <c r="I1444" s="3" t="s">
        <v>26</v>
      </c>
      <c r="J1444" s="3">
        <v>3</v>
      </c>
      <c r="K1444" s="3">
        <v>25</v>
      </c>
      <c r="L1444" s="3">
        <v>24</v>
      </c>
      <c r="M1444" s="3">
        <v>0</v>
      </c>
      <c r="N1444" s="3">
        <v>1</v>
      </c>
      <c r="O1444" s="3">
        <v>0</v>
      </c>
      <c r="P1444" s="3">
        <f t="shared" si="0"/>
        <v>0</v>
      </c>
      <c r="Q1444" s="3">
        <f t="shared" si="1"/>
        <v>100</v>
      </c>
      <c r="R1444" s="3">
        <f t="shared" si="2"/>
        <v>0</v>
      </c>
      <c r="S1444" s="11"/>
    </row>
    <row r="1445" ht="15.75" customHeight="1" spans="1:19">
      <c r="A1445" s="3" t="s">
        <v>117</v>
      </c>
      <c r="B1445" s="3">
        <v>1001</v>
      </c>
      <c r="C1445" s="3">
        <v>4887</v>
      </c>
      <c r="D1445" s="3">
        <v>3</v>
      </c>
      <c r="E1445" s="3" t="s">
        <v>182</v>
      </c>
      <c r="F1445" s="3" t="s">
        <v>183</v>
      </c>
      <c r="G1445" s="3" t="s">
        <v>209</v>
      </c>
      <c r="H1445" s="3" t="s">
        <v>31</v>
      </c>
      <c r="I1445" s="3" t="s">
        <v>26</v>
      </c>
      <c r="J1445" s="3">
        <v>4</v>
      </c>
      <c r="K1445" s="3">
        <v>25</v>
      </c>
      <c r="L1445" s="3">
        <v>23</v>
      </c>
      <c r="M1445" s="3">
        <v>0</v>
      </c>
      <c r="N1445" s="3">
        <v>1</v>
      </c>
      <c r="O1445" s="3">
        <v>1</v>
      </c>
      <c r="P1445" s="3">
        <f t="shared" si="0"/>
        <v>0</v>
      </c>
      <c r="Q1445" s="3">
        <f t="shared" si="1"/>
        <v>95.8333333333333</v>
      </c>
      <c r="R1445" s="3">
        <f t="shared" si="2"/>
        <v>4.16666666666667</v>
      </c>
      <c r="S1445" s="11"/>
    </row>
    <row r="1446" ht="15.75" customHeight="1" spans="1:21">
      <c r="A1446" s="3" t="s">
        <v>122</v>
      </c>
      <c r="B1446" s="3">
        <v>1017</v>
      </c>
      <c r="C1446" s="3">
        <v>5938</v>
      </c>
      <c r="D1446" s="3">
        <v>0.1</v>
      </c>
      <c r="E1446" s="3" t="s">
        <v>210</v>
      </c>
      <c r="F1446" s="3" t="s">
        <v>211</v>
      </c>
      <c r="G1446" s="3" t="s">
        <v>212</v>
      </c>
      <c r="H1446" s="3" t="s">
        <v>40</v>
      </c>
      <c r="I1446" s="3" t="s">
        <v>156</v>
      </c>
      <c r="J1446" s="3">
        <v>1</v>
      </c>
      <c r="K1446" s="3">
        <v>20</v>
      </c>
      <c r="L1446" s="3">
        <v>10</v>
      </c>
      <c r="M1446" s="3">
        <v>0</v>
      </c>
      <c r="N1446" s="3">
        <v>0</v>
      </c>
      <c r="O1446" s="3">
        <v>10</v>
      </c>
      <c r="P1446" s="3">
        <f t="shared" si="0"/>
        <v>0</v>
      </c>
      <c r="Q1446" s="3">
        <f t="shared" si="1"/>
        <v>50</v>
      </c>
      <c r="R1446" s="3">
        <f t="shared" si="2"/>
        <v>50</v>
      </c>
      <c r="S1446" s="11">
        <f>AVERAGE(Q1446:Q1449)</f>
        <v>32.5511695906433</v>
      </c>
      <c r="T1446" s="7">
        <f>AVERAGE(R1446:R1449)</f>
        <v>67.4488304093567</v>
      </c>
      <c r="U1446" s="8">
        <f>(L1446+L1447+L1448+L1449+O1446+O1447+O1448+O1449)/(K1446+K1447+K1448+K1449)*100</f>
        <v>96.25</v>
      </c>
    </row>
    <row r="1447" ht="15.75" customHeight="1" spans="1:19">
      <c r="A1447" s="3" t="s">
        <v>122</v>
      </c>
      <c r="B1447" s="3">
        <v>1017</v>
      </c>
      <c r="C1447" s="3">
        <v>5938</v>
      </c>
      <c r="D1447" s="3">
        <v>0.1</v>
      </c>
      <c r="E1447" s="3" t="s">
        <v>210</v>
      </c>
      <c r="F1447" s="3" t="s">
        <v>211</v>
      </c>
      <c r="G1447" s="3" t="s">
        <v>212</v>
      </c>
      <c r="H1447" s="3" t="s">
        <v>40</v>
      </c>
      <c r="I1447" s="3" t="s">
        <v>156</v>
      </c>
      <c r="J1447" s="3">
        <v>2</v>
      </c>
      <c r="K1447" s="3">
        <v>20</v>
      </c>
      <c r="L1447" s="3">
        <v>5</v>
      </c>
      <c r="M1447" s="3">
        <v>0</v>
      </c>
      <c r="N1447" s="3">
        <v>1</v>
      </c>
      <c r="O1447" s="3">
        <v>14</v>
      </c>
      <c r="P1447" s="3">
        <f t="shared" si="0"/>
        <v>0</v>
      </c>
      <c r="Q1447" s="3">
        <f t="shared" si="1"/>
        <v>26.3157894736842</v>
      </c>
      <c r="R1447" s="3">
        <f t="shared" si="2"/>
        <v>73.6842105263158</v>
      </c>
      <c r="S1447" s="11"/>
    </row>
    <row r="1448" ht="15.75" customHeight="1" spans="1:19">
      <c r="A1448" s="3" t="s">
        <v>122</v>
      </c>
      <c r="B1448" s="3">
        <v>1017</v>
      </c>
      <c r="C1448" s="3">
        <v>5938</v>
      </c>
      <c r="D1448" s="3">
        <v>0.1</v>
      </c>
      <c r="E1448" s="3" t="s">
        <v>210</v>
      </c>
      <c r="F1448" s="3" t="s">
        <v>211</v>
      </c>
      <c r="G1448" s="3" t="s">
        <v>212</v>
      </c>
      <c r="H1448" s="3" t="s">
        <v>40</v>
      </c>
      <c r="I1448" s="3" t="s">
        <v>156</v>
      </c>
      <c r="J1448" s="3">
        <v>3</v>
      </c>
      <c r="K1448" s="3">
        <v>20</v>
      </c>
      <c r="L1448" s="3">
        <v>7</v>
      </c>
      <c r="M1448" s="3">
        <v>0</v>
      </c>
      <c r="N1448" s="3">
        <v>2</v>
      </c>
      <c r="O1448" s="3">
        <v>11</v>
      </c>
      <c r="P1448" s="3">
        <f t="shared" si="0"/>
        <v>0</v>
      </c>
      <c r="Q1448" s="3">
        <f t="shared" si="1"/>
        <v>38.8888888888889</v>
      </c>
      <c r="R1448" s="3">
        <f t="shared" si="2"/>
        <v>61.1111111111111</v>
      </c>
      <c r="S1448" s="11"/>
    </row>
    <row r="1449" ht="15.75" customHeight="1" spans="1:19">
      <c r="A1449" s="3" t="s">
        <v>122</v>
      </c>
      <c r="B1449" s="3">
        <v>1017</v>
      </c>
      <c r="C1449" s="3">
        <v>5938</v>
      </c>
      <c r="D1449" s="3">
        <v>0.1</v>
      </c>
      <c r="E1449" s="3" t="s">
        <v>210</v>
      </c>
      <c r="F1449" s="3" t="s">
        <v>211</v>
      </c>
      <c r="G1449" s="3" t="s">
        <v>212</v>
      </c>
      <c r="H1449" s="3" t="s">
        <v>40</v>
      </c>
      <c r="I1449" s="3" t="s">
        <v>156</v>
      </c>
      <c r="J1449" s="3">
        <v>4</v>
      </c>
      <c r="K1449" s="3">
        <v>20</v>
      </c>
      <c r="L1449" s="3">
        <v>3</v>
      </c>
      <c r="M1449" s="3">
        <v>0</v>
      </c>
      <c r="N1449" s="3">
        <v>0</v>
      </c>
      <c r="O1449" s="3">
        <v>17</v>
      </c>
      <c r="P1449" s="3">
        <f t="shared" si="0"/>
        <v>0</v>
      </c>
      <c r="Q1449" s="3">
        <f t="shared" si="1"/>
        <v>15</v>
      </c>
      <c r="R1449" s="3">
        <f t="shared" si="2"/>
        <v>85</v>
      </c>
      <c r="S1449" s="11"/>
    </row>
    <row r="1450" ht="15.75" customHeight="1" spans="1:21">
      <c r="A1450" s="3" t="s">
        <v>36</v>
      </c>
      <c r="B1450" s="3">
        <v>1294</v>
      </c>
      <c r="C1450" s="3">
        <v>8842</v>
      </c>
      <c r="D1450" s="3">
        <v>0.1</v>
      </c>
      <c r="E1450" s="3" t="s">
        <v>210</v>
      </c>
      <c r="F1450" s="3" t="s">
        <v>213</v>
      </c>
      <c r="G1450" s="3" t="s">
        <v>212</v>
      </c>
      <c r="H1450" s="3" t="s">
        <v>40</v>
      </c>
      <c r="I1450" s="3" t="s">
        <v>156</v>
      </c>
      <c r="J1450" s="3">
        <v>1</v>
      </c>
      <c r="K1450" s="3">
        <v>20</v>
      </c>
      <c r="L1450" s="3">
        <v>19</v>
      </c>
      <c r="M1450" s="3">
        <v>0</v>
      </c>
      <c r="N1450" s="3">
        <v>0</v>
      </c>
      <c r="O1450" s="3">
        <v>1</v>
      </c>
      <c r="P1450" s="3">
        <f t="shared" si="0"/>
        <v>0</v>
      </c>
      <c r="Q1450" s="3">
        <f t="shared" si="1"/>
        <v>95</v>
      </c>
      <c r="R1450" s="3">
        <f t="shared" si="2"/>
        <v>5</v>
      </c>
      <c r="S1450" s="11">
        <f>AVERAGE(Q1450:Q1453)</f>
        <v>89.5833333333333</v>
      </c>
      <c r="T1450" s="7">
        <f>AVERAGE(R1450:R1453)</f>
        <v>9.16666666666667</v>
      </c>
      <c r="U1450" s="8">
        <f>(L1450+L1451+L1452+L1453+O1450+O1451+O1452+O1453)/(K1450+K1451+K1452+K1453)*100</f>
        <v>92.5</v>
      </c>
    </row>
    <row r="1451" ht="15.75" customHeight="1" spans="1:19">
      <c r="A1451" s="3" t="s">
        <v>36</v>
      </c>
      <c r="B1451" s="3">
        <v>1294</v>
      </c>
      <c r="C1451" s="3">
        <v>8842</v>
      </c>
      <c r="D1451" s="3">
        <v>0.1</v>
      </c>
      <c r="E1451" s="3" t="s">
        <v>210</v>
      </c>
      <c r="F1451" s="3" t="s">
        <v>213</v>
      </c>
      <c r="G1451" s="3" t="s">
        <v>212</v>
      </c>
      <c r="H1451" s="3" t="s">
        <v>40</v>
      </c>
      <c r="I1451" s="3" t="s">
        <v>156</v>
      </c>
      <c r="J1451" s="3">
        <v>2</v>
      </c>
      <c r="K1451" s="3">
        <v>20</v>
      </c>
      <c r="L1451" s="3">
        <v>19</v>
      </c>
      <c r="M1451" s="3">
        <v>0</v>
      </c>
      <c r="N1451" s="3">
        <v>0</v>
      </c>
      <c r="O1451" s="3">
        <v>1</v>
      </c>
      <c r="P1451" s="3">
        <f t="shared" si="0"/>
        <v>0</v>
      </c>
      <c r="Q1451" s="3">
        <f t="shared" si="1"/>
        <v>95</v>
      </c>
      <c r="R1451" s="3">
        <f t="shared" si="2"/>
        <v>5</v>
      </c>
      <c r="S1451" s="11"/>
    </row>
    <row r="1452" ht="15.75" customHeight="1" spans="1:19">
      <c r="A1452" s="3" t="s">
        <v>36</v>
      </c>
      <c r="B1452" s="3">
        <v>1294</v>
      </c>
      <c r="C1452" s="3">
        <v>8842</v>
      </c>
      <c r="D1452" s="3">
        <v>0.1</v>
      </c>
      <c r="E1452" s="3" t="s">
        <v>210</v>
      </c>
      <c r="F1452" s="3" t="s">
        <v>213</v>
      </c>
      <c r="G1452" s="3" t="s">
        <v>212</v>
      </c>
      <c r="H1452" s="3" t="s">
        <v>40</v>
      </c>
      <c r="I1452" s="3" t="s">
        <v>156</v>
      </c>
      <c r="J1452" s="3">
        <v>3</v>
      </c>
      <c r="K1452" s="3">
        <v>20</v>
      </c>
      <c r="L1452" s="3">
        <v>15</v>
      </c>
      <c r="M1452" s="3">
        <v>1</v>
      </c>
      <c r="N1452" s="3">
        <v>0</v>
      </c>
      <c r="O1452" s="3">
        <v>4</v>
      </c>
      <c r="P1452" s="3">
        <f t="shared" si="0"/>
        <v>0</v>
      </c>
      <c r="Q1452" s="3">
        <f t="shared" si="1"/>
        <v>75</v>
      </c>
      <c r="R1452" s="3">
        <f t="shared" si="2"/>
        <v>20</v>
      </c>
      <c r="S1452" s="11"/>
    </row>
    <row r="1453" ht="15.75" customHeight="1" spans="1:19">
      <c r="A1453" s="3" t="s">
        <v>36</v>
      </c>
      <c r="B1453" s="3">
        <v>1294</v>
      </c>
      <c r="C1453" s="3">
        <v>8842</v>
      </c>
      <c r="D1453" s="3">
        <v>0.1</v>
      </c>
      <c r="E1453" s="3" t="s">
        <v>210</v>
      </c>
      <c r="F1453" s="3" t="s">
        <v>213</v>
      </c>
      <c r="G1453" s="3" t="s">
        <v>212</v>
      </c>
      <c r="H1453" s="3" t="s">
        <v>40</v>
      </c>
      <c r="I1453" s="3" t="s">
        <v>156</v>
      </c>
      <c r="J1453" s="3">
        <v>4</v>
      </c>
      <c r="K1453" s="3">
        <v>20</v>
      </c>
      <c r="L1453" s="3">
        <v>14</v>
      </c>
      <c r="M1453" s="3">
        <v>0</v>
      </c>
      <c r="N1453" s="3">
        <v>5</v>
      </c>
      <c r="O1453" s="3">
        <v>1</v>
      </c>
      <c r="P1453" s="3">
        <f t="shared" si="0"/>
        <v>0</v>
      </c>
      <c r="Q1453" s="3">
        <f t="shared" si="1"/>
        <v>93.3333333333333</v>
      </c>
      <c r="R1453" s="3">
        <f t="shared" si="2"/>
        <v>6.66666666666667</v>
      </c>
      <c r="S1453" s="11"/>
    </row>
    <row r="1454" ht="15.75" customHeight="1" spans="1:21">
      <c r="A1454" s="3" t="s">
        <v>36</v>
      </c>
      <c r="B1454" s="3">
        <v>1294</v>
      </c>
      <c r="C1454" s="3">
        <v>8842</v>
      </c>
      <c r="D1454" s="3">
        <v>0.1</v>
      </c>
      <c r="E1454" s="3" t="s">
        <v>210</v>
      </c>
      <c r="F1454" s="3" t="s">
        <v>211</v>
      </c>
      <c r="G1454" s="3" t="s">
        <v>212</v>
      </c>
      <c r="H1454" s="3" t="s">
        <v>40</v>
      </c>
      <c r="I1454" s="3" t="s">
        <v>156</v>
      </c>
      <c r="J1454" s="3">
        <v>1</v>
      </c>
      <c r="K1454" s="3">
        <v>16</v>
      </c>
      <c r="L1454" s="3">
        <v>7</v>
      </c>
      <c r="M1454" s="3">
        <v>0</v>
      </c>
      <c r="N1454" s="3">
        <v>1</v>
      </c>
      <c r="O1454" s="3">
        <v>8</v>
      </c>
      <c r="P1454" s="3">
        <f t="shared" si="0"/>
        <v>0</v>
      </c>
      <c r="Q1454" s="3">
        <f t="shared" si="1"/>
        <v>46.6666666666667</v>
      </c>
      <c r="R1454" s="3">
        <f t="shared" si="2"/>
        <v>53.3333333333333</v>
      </c>
      <c r="S1454" s="11">
        <f>AVERAGE(Q1454:Q1457)</f>
        <v>36.963141025641</v>
      </c>
      <c r="T1454" s="7">
        <f>AVERAGE(R1454:R1457)</f>
        <v>59.4471153846154</v>
      </c>
      <c r="U1454" s="8">
        <f>(L1454+L1455+L1456+L1457+O1454+O1455+O1456+O1457)/(K1454+K1455+K1456+K1457)*100</f>
        <v>89.0625</v>
      </c>
    </row>
    <row r="1455" ht="15.75" customHeight="1" spans="1:19">
      <c r="A1455" s="3" t="s">
        <v>36</v>
      </c>
      <c r="B1455" s="3">
        <v>1294</v>
      </c>
      <c r="C1455" s="3">
        <v>8842</v>
      </c>
      <c r="D1455" s="3">
        <v>0.1</v>
      </c>
      <c r="E1455" s="3" t="s">
        <v>210</v>
      </c>
      <c r="F1455" s="3" t="s">
        <v>211</v>
      </c>
      <c r="G1455" s="3" t="s">
        <v>212</v>
      </c>
      <c r="H1455" s="3" t="s">
        <v>40</v>
      </c>
      <c r="I1455" s="3" t="s">
        <v>156</v>
      </c>
      <c r="J1455" s="3">
        <v>2</v>
      </c>
      <c r="K1455" s="3">
        <v>16</v>
      </c>
      <c r="L1455" s="3">
        <v>7</v>
      </c>
      <c r="M1455" s="3">
        <v>0</v>
      </c>
      <c r="N1455" s="3">
        <v>0</v>
      </c>
      <c r="O1455" s="3">
        <v>9</v>
      </c>
      <c r="P1455" s="3">
        <f t="shared" si="0"/>
        <v>0</v>
      </c>
      <c r="Q1455" s="3">
        <f t="shared" si="1"/>
        <v>43.75</v>
      </c>
      <c r="R1455" s="3">
        <f t="shared" si="2"/>
        <v>56.25</v>
      </c>
      <c r="S1455" s="11"/>
    </row>
    <row r="1456" ht="15.75" customHeight="1" spans="1:19">
      <c r="A1456" s="3" t="s">
        <v>36</v>
      </c>
      <c r="B1456" s="3">
        <v>1294</v>
      </c>
      <c r="C1456" s="3">
        <v>8842</v>
      </c>
      <c r="D1456" s="3">
        <v>0.1</v>
      </c>
      <c r="E1456" s="3" t="s">
        <v>210</v>
      </c>
      <c r="F1456" s="3" t="s">
        <v>211</v>
      </c>
      <c r="G1456" s="3" t="s">
        <v>212</v>
      </c>
      <c r="H1456" s="3" t="s">
        <v>40</v>
      </c>
      <c r="I1456" s="3" t="s">
        <v>156</v>
      </c>
      <c r="J1456" s="3">
        <v>3</v>
      </c>
      <c r="K1456" s="3">
        <v>16</v>
      </c>
      <c r="L1456" s="3">
        <v>4</v>
      </c>
      <c r="M1456" s="3">
        <v>1</v>
      </c>
      <c r="N1456" s="3">
        <v>3</v>
      </c>
      <c r="O1456" s="3">
        <v>8</v>
      </c>
      <c r="P1456" s="3">
        <f t="shared" si="0"/>
        <v>0</v>
      </c>
      <c r="Q1456" s="3">
        <f t="shared" si="1"/>
        <v>30.7692307692308</v>
      </c>
      <c r="R1456" s="3">
        <f t="shared" si="2"/>
        <v>61.5384615384615</v>
      </c>
      <c r="S1456" s="11"/>
    </row>
    <row r="1457" ht="15.75" customHeight="1" spans="1:19">
      <c r="A1457" s="3" t="s">
        <v>36</v>
      </c>
      <c r="B1457" s="3">
        <v>1294</v>
      </c>
      <c r="C1457" s="3">
        <v>8842</v>
      </c>
      <c r="D1457" s="3">
        <v>0.1</v>
      </c>
      <c r="E1457" s="3" t="s">
        <v>210</v>
      </c>
      <c r="F1457" s="3" t="s">
        <v>211</v>
      </c>
      <c r="G1457" s="3" t="s">
        <v>212</v>
      </c>
      <c r="H1457" s="3" t="s">
        <v>40</v>
      </c>
      <c r="I1457" s="3" t="s">
        <v>156</v>
      </c>
      <c r="J1457" s="3">
        <v>4</v>
      </c>
      <c r="K1457" s="3">
        <v>16</v>
      </c>
      <c r="L1457" s="3">
        <v>4</v>
      </c>
      <c r="M1457" s="3">
        <v>1</v>
      </c>
      <c r="N1457" s="3">
        <v>1</v>
      </c>
      <c r="O1457" s="3">
        <v>10</v>
      </c>
      <c r="P1457" s="3">
        <f t="shared" si="0"/>
        <v>0</v>
      </c>
      <c r="Q1457" s="3">
        <f t="shared" si="1"/>
        <v>26.6666666666667</v>
      </c>
      <c r="R1457" s="3">
        <f t="shared" si="2"/>
        <v>66.6666666666667</v>
      </c>
      <c r="S1457" s="11"/>
    </row>
    <row r="1458" ht="15.75" customHeight="1" spans="1:21">
      <c r="A1458" s="3" t="s">
        <v>21</v>
      </c>
      <c r="B1458" s="3">
        <v>1236</v>
      </c>
      <c r="C1458" s="3">
        <v>8460</v>
      </c>
      <c r="D1458" s="3">
        <v>0.1</v>
      </c>
      <c r="E1458" s="3" t="s">
        <v>210</v>
      </c>
      <c r="F1458" s="3" t="s">
        <v>211</v>
      </c>
      <c r="G1458" s="3" t="s">
        <v>212</v>
      </c>
      <c r="H1458" s="3" t="s">
        <v>40</v>
      </c>
      <c r="I1458" s="3" t="s">
        <v>156</v>
      </c>
      <c r="J1458" s="3">
        <v>1</v>
      </c>
      <c r="K1458" s="3">
        <v>16</v>
      </c>
      <c r="L1458" s="3">
        <v>11</v>
      </c>
      <c r="M1458" s="3">
        <v>1</v>
      </c>
      <c r="N1458" s="3">
        <v>0</v>
      </c>
      <c r="O1458" s="3">
        <v>4</v>
      </c>
      <c r="P1458" s="3">
        <f t="shared" si="0"/>
        <v>0</v>
      </c>
      <c r="Q1458" s="3">
        <f t="shared" si="1"/>
        <v>68.75</v>
      </c>
      <c r="R1458" s="3">
        <f t="shared" si="2"/>
        <v>25</v>
      </c>
      <c r="S1458" s="11">
        <f>AVERAGE(Q1458:Q1461)</f>
        <v>59.4791666666667</v>
      </c>
      <c r="T1458" s="7">
        <f>AVERAGE(R1458:R1461)</f>
        <v>33.9583333333333</v>
      </c>
      <c r="U1458" s="8">
        <f>(L1458+L1459+L1460+L1461+O1458+O1459+O1460+O1461)/(K1458+K1459+K1460+K1461)*100</f>
        <v>90.625</v>
      </c>
    </row>
    <row r="1459" ht="15.75" customHeight="1" spans="1:19">
      <c r="A1459" s="3" t="s">
        <v>21</v>
      </c>
      <c r="B1459" s="3">
        <v>1236</v>
      </c>
      <c r="C1459" s="3">
        <v>8460</v>
      </c>
      <c r="D1459" s="3">
        <v>0.1</v>
      </c>
      <c r="E1459" s="3" t="s">
        <v>210</v>
      </c>
      <c r="F1459" s="3" t="s">
        <v>211</v>
      </c>
      <c r="G1459" s="3" t="s">
        <v>212</v>
      </c>
      <c r="H1459" s="3" t="s">
        <v>40</v>
      </c>
      <c r="I1459" s="3" t="s">
        <v>156</v>
      </c>
      <c r="J1459" s="3">
        <v>2</v>
      </c>
      <c r="K1459" s="3">
        <v>16</v>
      </c>
      <c r="L1459" s="3">
        <v>10</v>
      </c>
      <c r="M1459" s="3">
        <v>0</v>
      </c>
      <c r="N1459" s="3">
        <v>0</v>
      </c>
      <c r="O1459" s="3">
        <v>6</v>
      </c>
      <c r="P1459" s="3">
        <f t="shared" si="0"/>
        <v>0</v>
      </c>
      <c r="Q1459" s="3">
        <f t="shared" si="1"/>
        <v>62.5</v>
      </c>
      <c r="R1459" s="3">
        <f t="shared" si="2"/>
        <v>37.5</v>
      </c>
      <c r="S1459" s="11"/>
    </row>
    <row r="1460" ht="15.75" customHeight="1" spans="1:19">
      <c r="A1460" s="3" t="s">
        <v>21</v>
      </c>
      <c r="B1460" s="3">
        <v>1236</v>
      </c>
      <c r="C1460" s="3">
        <v>8460</v>
      </c>
      <c r="D1460" s="3">
        <v>0.1</v>
      </c>
      <c r="E1460" s="3" t="s">
        <v>210</v>
      </c>
      <c r="F1460" s="3" t="s">
        <v>211</v>
      </c>
      <c r="G1460" s="3" t="s">
        <v>212</v>
      </c>
      <c r="H1460" s="3" t="s">
        <v>40</v>
      </c>
      <c r="I1460" s="3" t="s">
        <v>156</v>
      </c>
      <c r="J1460" s="3">
        <v>3</v>
      </c>
      <c r="K1460" s="3">
        <v>16</v>
      </c>
      <c r="L1460" s="3">
        <v>8</v>
      </c>
      <c r="M1460" s="3">
        <v>1</v>
      </c>
      <c r="N1460" s="3">
        <v>1</v>
      </c>
      <c r="O1460" s="3">
        <v>6</v>
      </c>
      <c r="P1460" s="3">
        <f t="shared" si="0"/>
        <v>0</v>
      </c>
      <c r="Q1460" s="3">
        <f t="shared" si="1"/>
        <v>53.3333333333333</v>
      </c>
      <c r="R1460" s="3">
        <f t="shared" si="2"/>
        <v>40</v>
      </c>
      <c r="S1460" s="11"/>
    </row>
    <row r="1461" ht="15.75" customHeight="1" spans="1:19">
      <c r="A1461" s="3" t="s">
        <v>21</v>
      </c>
      <c r="B1461" s="3">
        <v>1236</v>
      </c>
      <c r="C1461" s="3">
        <v>8460</v>
      </c>
      <c r="D1461" s="3">
        <v>0.1</v>
      </c>
      <c r="E1461" s="3" t="s">
        <v>210</v>
      </c>
      <c r="F1461" s="3" t="s">
        <v>211</v>
      </c>
      <c r="G1461" s="3" t="s">
        <v>212</v>
      </c>
      <c r="H1461" s="3" t="s">
        <v>40</v>
      </c>
      <c r="I1461" s="3" t="s">
        <v>156</v>
      </c>
      <c r="J1461" s="3">
        <v>4</v>
      </c>
      <c r="K1461" s="3">
        <v>16</v>
      </c>
      <c r="L1461" s="3">
        <v>8</v>
      </c>
      <c r="M1461" s="3">
        <v>2</v>
      </c>
      <c r="N1461" s="3">
        <v>1</v>
      </c>
      <c r="O1461" s="3">
        <v>5</v>
      </c>
      <c r="P1461" s="3">
        <f t="shared" si="0"/>
        <v>0</v>
      </c>
      <c r="Q1461" s="3">
        <f t="shared" si="1"/>
        <v>53.3333333333333</v>
      </c>
      <c r="R1461" s="3">
        <f t="shared" si="2"/>
        <v>33.3333333333333</v>
      </c>
      <c r="S1461" s="11"/>
    </row>
    <row r="1462" ht="15.75" customHeight="1" spans="1:21">
      <c r="A1462" s="3" t="s">
        <v>77</v>
      </c>
      <c r="B1462" s="3">
        <v>1746</v>
      </c>
      <c r="C1462" s="3">
        <v>10331</v>
      </c>
      <c r="D1462" s="3">
        <v>1</v>
      </c>
      <c r="E1462" s="4" t="s">
        <v>22</v>
      </c>
      <c r="F1462" s="4" t="s">
        <v>152</v>
      </c>
      <c r="G1462" s="4" t="s">
        <v>170</v>
      </c>
      <c r="H1462" s="4" t="s">
        <v>25</v>
      </c>
      <c r="I1462" s="4" t="s">
        <v>156</v>
      </c>
      <c r="J1462" s="3">
        <v>1</v>
      </c>
      <c r="K1462" s="3">
        <v>20</v>
      </c>
      <c r="L1462" s="3">
        <v>18</v>
      </c>
      <c r="M1462" s="3">
        <v>2</v>
      </c>
      <c r="N1462" s="3">
        <v>0</v>
      </c>
      <c r="O1462" s="3">
        <v>0</v>
      </c>
      <c r="P1462" s="3">
        <f t="shared" si="0"/>
        <v>0</v>
      </c>
      <c r="Q1462" s="3">
        <f t="shared" si="1"/>
        <v>90</v>
      </c>
      <c r="R1462" s="3">
        <f t="shared" si="2"/>
        <v>0</v>
      </c>
      <c r="S1462" s="11">
        <f>AVERAGE(Q1462:Q1465)</f>
        <v>94.5</v>
      </c>
      <c r="T1462" s="7">
        <f>AVERAGE(R1462:R1465)</f>
        <v>0</v>
      </c>
      <c r="U1462" s="8">
        <f>(L1462+L1463+L1464+L1465+O1462+O1463+O1464+O1465)/(K1462+K1463+K1464+K1465)*100</f>
        <v>94.7368421052632</v>
      </c>
    </row>
    <row r="1463" ht="15.75" customHeight="1" spans="1:19">
      <c r="A1463" s="3" t="s">
        <v>77</v>
      </c>
      <c r="B1463" s="3">
        <v>1746</v>
      </c>
      <c r="C1463" s="3">
        <v>10331</v>
      </c>
      <c r="D1463" s="3">
        <v>1</v>
      </c>
      <c r="E1463" s="4" t="s">
        <v>22</v>
      </c>
      <c r="F1463" s="4" t="s">
        <v>152</v>
      </c>
      <c r="G1463" s="4" t="s">
        <v>170</v>
      </c>
      <c r="H1463" s="4" t="s">
        <v>25</v>
      </c>
      <c r="I1463" s="4" t="s">
        <v>156</v>
      </c>
      <c r="J1463" s="3">
        <v>2</v>
      </c>
      <c r="K1463" s="3">
        <v>25</v>
      </c>
      <c r="L1463" s="3">
        <v>23</v>
      </c>
      <c r="M1463" s="3">
        <v>2</v>
      </c>
      <c r="N1463" s="3">
        <v>0</v>
      </c>
      <c r="O1463" s="3">
        <v>0</v>
      </c>
      <c r="P1463" s="3">
        <f t="shared" si="0"/>
        <v>0</v>
      </c>
      <c r="Q1463" s="3">
        <f t="shared" si="1"/>
        <v>92</v>
      </c>
      <c r="R1463" s="3">
        <f t="shared" si="2"/>
        <v>0</v>
      </c>
      <c r="S1463" s="11"/>
    </row>
    <row r="1464" ht="15.75" customHeight="1" spans="1:19">
      <c r="A1464" s="3" t="s">
        <v>77</v>
      </c>
      <c r="B1464" s="3">
        <v>1746</v>
      </c>
      <c r="C1464" s="3">
        <v>10331</v>
      </c>
      <c r="D1464" s="3">
        <v>1</v>
      </c>
      <c r="E1464" s="4" t="s">
        <v>22</v>
      </c>
      <c r="F1464" s="4" t="s">
        <v>152</v>
      </c>
      <c r="G1464" s="4" t="s">
        <v>170</v>
      </c>
      <c r="H1464" s="4" t="s">
        <v>25</v>
      </c>
      <c r="I1464" s="4" t="s">
        <v>156</v>
      </c>
      <c r="J1464" s="3">
        <v>3</v>
      </c>
      <c r="K1464" s="3">
        <v>25</v>
      </c>
      <c r="L1464" s="3">
        <v>24</v>
      </c>
      <c r="M1464" s="3">
        <v>1</v>
      </c>
      <c r="N1464" s="3">
        <v>0</v>
      </c>
      <c r="O1464" s="3">
        <v>0</v>
      </c>
      <c r="P1464" s="3">
        <f t="shared" si="0"/>
        <v>0</v>
      </c>
      <c r="Q1464" s="3">
        <f t="shared" si="1"/>
        <v>96</v>
      </c>
      <c r="R1464" s="3">
        <f t="shared" si="2"/>
        <v>0</v>
      </c>
      <c r="S1464" s="11"/>
    </row>
    <row r="1465" ht="15.75" customHeight="1" spans="1:19">
      <c r="A1465" s="3" t="s">
        <v>77</v>
      </c>
      <c r="B1465" s="3">
        <v>1746</v>
      </c>
      <c r="C1465" s="3">
        <v>10331</v>
      </c>
      <c r="D1465" s="3">
        <v>1</v>
      </c>
      <c r="E1465" s="4" t="s">
        <v>22</v>
      </c>
      <c r="F1465" s="4" t="s">
        <v>152</v>
      </c>
      <c r="G1465" s="4" t="s">
        <v>170</v>
      </c>
      <c r="H1465" s="4" t="s">
        <v>25</v>
      </c>
      <c r="I1465" s="4" t="s">
        <v>156</v>
      </c>
      <c r="J1465" s="3">
        <v>4</v>
      </c>
      <c r="K1465" s="3">
        <v>25</v>
      </c>
      <c r="L1465" s="3">
        <v>25</v>
      </c>
      <c r="M1465" s="3">
        <v>0</v>
      </c>
      <c r="N1465" s="3">
        <v>0</v>
      </c>
      <c r="O1465" s="3">
        <v>0</v>
      </c>
      <c r="P1465" s="3">
        <f t="shared" si="0"/>
        <v>0</v>
      </c>
      <c r="Q1465" s="3">
        <f t="shared" si="1"/>
        <v>100</v>
      </c>
      <c r="R1465" s="3">
        <f t="shared" si="2"/>
        <v>0</v>
      </c>
      <c r="S1465" s="11"/>
    </row>
    <row r="1466" ht="15.75" customHeight="1" spans="1:21">
      <c r="A1466" s="3" t="s">
        <v>42</v>
      </c>
      <c r="B1466" s="3">
        <v>1441</v>
      </c>
      <c r="C1466" s="3">
        <v>9420</v>
      </c>
      <c r="D1466" s="3">
        <v>3</v>
      </c>
      <c r="E1466" s="4" t="s">
        <v>22</v>
      </c>
      <c r="F1466" s="4" t="s">
        <v>171</v>
      </c>
      <c r="G1466" s="4" t="s">
        <v>172</v>
      </c>
      <c r="H1466" s="4" t="s">
        <v>25</v>
      </c>
      <c r="I1466" s="4" t="s">
        <v>156</v>
      </c>
      <c r="J1466" s="3">
        <v>1</v>
      </c>
      <c r="K1466" s="3">
        <v>25</v>
      </c>
      <c r="L1466" s="3">
        <v>24</v>
      </c>
      <c r="M1466" s="3">
        <v>1</v>
      </c>
      <c r="N1466" s="3">
        <v>0</v>
      </c>
      <c r="O1466" s="3">
        <v>0</v>
      </c>
      <c r="P1466" s="3">
        <f t="shared" si="0"/>
        <v>0</v>
      </c>
      <c r="Q1466" s="3">
        <f t="shared" si="1"/>
        <v>96</v>
      </c>
      <c r="R1466" s="3">
        <f t="shared" si="2"/>
        <v>0</v>
      </c>
      <c r="S1466" s="11">
        <f>AVERAGE(Q1466:Q1469)</f>
        <v>98</v>
      </c>
      <c r="T1466" s="7">
        <f>AVERAGE(R1466:R1469)</f>
        <v>0</v>
      </c>
      <c r="U1466" s="8">
        <f>(L1466+L1467+L1468+L1469+O1466+O1467+O1468+O1469)/(K1466+K1467+K1468+K1469)*100</f>
        <v>98</v>
      </c>
    </row>
    <row r="1467" ht="15.75" customHeight="1" spans="1:19">
      <c r="A1467" s="3" t="s">
        <v>42</v>
      </c>
      <c r="B1467" s="3">
        <v>1441</v>
      </c>
      <c r="C1467" s="3">
        <v>9420</v>
      </c>
      <c r="D1467" s="3">
        <v>3</v>
      </c>
      <c r="E1467" s="4" t="s">
        <v>22</v>
      </c>
      <c r="F1467" s="4" t="s">
        <v>171</v>
      </c>
      <c r="G1467" s="4" t="s">
        <v>172</v>
      </c>
      <c r="H1467" s="4" t="s">
        <v>25</v>
      </c>
      <c r="I1467" s="4" t="s">
        <v>156</v>
      </c>
      <c r="J1467" s="3">
        <v>2</v>
      </c>
      <c r="K1467" s="3">
        <v>25</v>
      </c>
      <c r="L1467" s="3">
        <v>25</v>
      </c>
      <c r="M1467" s="3">
        <v>0</v>
      </c>
      <c r="N1467" s="3">
        <v>0</v>
      </c>
      <c r="O1467" s="3">
        <v>0</v>
      </c>
      <c r="P1467" s="3">
        <f t="shared" si="0"/>
        <v>0</v>
      </c>
      <c r="Q1467" s="3">
        <f t="shared" si="1"/>
        <v>100</v>
      </c>
      <c r="R1467" s="3">
        <f t="shared" si="2"/>
        <v>0</v>
      </c>
      <c r="S1467" s="11"/>
    </row>
    <row r="1468" ht="15.75" customHeight="1" spans="1:19">
      <c r="A1468" s="3" t="s">
        <v>42</v>
      </c>
      <c r="B1468" s="3">
        <v>1441</v>
      </c>
      <c r="C1468" s="3">
        <v>9420</v>
      </c>
      <c r="D1468" s="3">
        <v>3</v>
      </c>
      <c r="E1468" s="4" t="s">
        <v>22</v>
      </c>
      <c r="F1468" s="4" t="s">
        <v>171</v>
      </c>
      <c r="G1468" s="4" t="s">
        <v>172</v>
      </c>
      <c r="H1468" s="4" t="s">
        <v>25</v>
      </c>
      <c r="I1468" s="4" t="s">
        <v>156</v>
      </c>
      <c r="J1468" s="3">
        <v>3</v>
      </c>
      <c r="K1468" s="3">
        <v>25</v>
      </c>
      <c r="L1468" s="3">
        <v>25</v>
      </c>
      <c r="M1468" s="3">
        <v>0</v>
      </c>
      <c r="N1468" s="3">
        <v>0</v>
      </c>
      <c r="O1468" s="3">
        <v>0</v>
      </c>
      <c r="P1468" s="3">
        <f t="shared" si="0"/>
        <v>0</v>
      </c>
      <c r="Q1468" s="3">
        <f t="shared" si="1"/>
        <v>100</v>
      </c>
      <c r="R1468" s="3">
        <f t="shared" si="2"/>
        <v>0</v>
      </c>
      <c r="S1468" s="11"/>
    </row>
    <row r="1469" ht="15.75" customHeight="1" spans="1:19">
      <c r="A1469" s="3" t="s">
        <v>42</v>
      </c>
      <c r="B1469" s="3">
        <v>1441</v>
      </c>
      <c r="C1469" s="3">
        <v>9420</v>
      </c>
      <c r="D1469" s="3">
        <v>3</v>
      </c>
      <c r="E1469" s="4" t="s">
        <v>22</v>
      </c>
      <c r="F1469" s="4" t="s">
        <v>171</v>
      </c>
      <c r="G1469" s="4" t="s">
        <v>172</v>
      </c>
      <c r="H1469" s="4" t="s">
        <v>25</v>
      </c>
      <c r="I1469" s="4" t="s">
        <v>156</v>
      </c>
      <c r="J1469" s="3">
        <v>4</v>
      </c>
      <c r="K1469" s="3">
        <v>25</v>
      </c>
      <c r="L1469" s="3">
        <v>24</v>
      </c>
      <c r="M1469" s="3">
        <v>1</v>
      </c>
      <c r="N1469" s="3">
        <v>0</v>
      </c>
      <c r="O1469" s="3">
        <v>0</v>
      </c>
      <c r="P1469" s="3">
        <f t="shared" si="0"/>
        <v>0</v>
      </c>
      <c r="Q1469" s="3">
        <f t="shared" si="1"/>
        <v>96</v>
      </c>
      <c r="R1469" s="3">
        <f t="shared" si="2"/>
        <v>0</v>
      </c>
      <c r="S1469" s="11"/>
    </row>
    <row r="1470" ht="15.75" customHeight="1" spans="1:21">
      <c r="A1470" s="3" t="s">
        <v>32</v>
      </c>
      <c r="B1470" s="3">
        <v>1342</v>
      </c>
      <c r="C1470" s="3">
        <v>9074</v>
      </c>
      <c r="D1470" s="3">
        <v>0.1</v>
      </c>
      <c r="E1470" s="4" t="s">
        <v>98</v>
      </c>
      <c r="F1470" s="4" t="s">
        <v>173</v>
      </c>
      <c r="G1470" s="4" t="s">
        <v>174</v>
      </c>
      <c r="H1470" s="4" t="s">
        <v>25</v>
      </c>
      <c r="I1470" s="4" t="s">
        <v>156</v>
      </c>
      <c r="J1470" s="3">
        <v>1</v>
      </c>
      <c r="K1470" s="3">
        <v>25</v>
      </c>
      <c r="L1470" s="3">
        <v>15</v>
      </c>
      <c r="M1470" s="3">
        <v>10</v>
      </c>
      <c r="N1470" s="3">
        <v>0</v>
      </c>
      <c r="O1470" s="3">
        <v>0</v>
      </c>
      <c r="P1470" s="3">
        <f t="shared" si="0"/>
        <v>0</v>
      </c>
      <c r="Q1470" s="3">
        <f t="shared" si="1"/>
        <v>60</v>
      </c>
      <c r="R1470" s="3">
        <f t="shared" si="2"/>
        <v>0</v>
      </c>
      <c r="S1470" s="11">
        <f>AVERAGE(Q1470:Q1473)</f>
        <v>50.3860294117647</v>
      </c>
      <c r="T1470" s="7">
        <f>AVERAGE(R1470:R1473)</f>
        <v>10.4779411764706</v>
      </c>
      <c r="U1470" s="8">
        <f>(L1470+L1471+L1472+L1473+O1470+O1471+O1472+O1473)/(K1470+K1471+K1472+K1473)*100</f>
        <v>47</v>
      </c>
    </row>
    <row r="1471" ht="15.75" customHeight="1" spans="1:19">
      <c r="A1471" s="3" t="s">
        <v>32</v>
      </c>
      <c r="B1471" s="3">
        <v>1342</v>
      </c>
      <c r="C1471" s="3">
        <v>9074</v>
      </c>
      <c r="D1471" s="3">
        <v>0.1</v>
      </c>
      <c r="E1471" s="4" t="s">
        <v>98</v>
      </c>
      <c r="F1471" s="4" t="s">
        <v>173</v>
      </c>
      <c r="G1471" s="4" t="s">
        <v>174</v>
      </c>
      <c r="H1471" s="4" t="s">
        <v>25</v>
      </c>
      <c r="I1471" s="4" t="s">
        <v>156</v>
      </c>
      <c r="J1471" s="3">
        <v>2</v>
      </c>
      <c r="K1471" s="3">
        <v>25</v>
      </c>
      <c r="L1471" s="3">
        <v>10</v>
      </c>
      <c r="M1471" s="3">
        <v>10</v>
      </c>
      <c r="N1471" s="3">
        <v>5</v>
      </c>
      <c r="O1471" s="3">
        <v>0</v>
      </c>
      <c r="P1471" s="3">
        <f t="shared" si="0"/>
        <v>0</v>
      </c>
      <c r="Q1471" s="3">
        <f t="shared" si="1"/>
        <v>50</v>
      </c>
      <c r="R1471" s="3">
        <f t="shared" si="2"/>
        <v>0</v>
      </c>
      <c r="S1471" s="11"/>
    </row>
    <row r="1472" ht="15.75" customHeight="1" spans="1:19">
      <c r="A1472" s="3" t="s">
        <v>32</v>
      </c>
      <c r="B1472" s="3">
        <v>1342</v>
      </c>
      <c r="C1472" s="3">
        <v>9074</v>
      </c>
      <c r="D1472" s="3">
        <v>0.1</v>
      </c>
      <c r="E1472" s="4" t="s">
        <v>98</v>
      </c>
      <c r="F1472" s="4" t="s">
        <v>173</v>
      </c>
      <c r="G1472" s="4" t="s">
        <v>174</v>
      </c>
      <c r="H1472" s="4" t="s">
        <v>25</v>
      </c>
      <c r="I1472" s="4" t="s">
        <v>156</v>
      </c>
      <c r="J1472" s="3">
        <v>3</v>
      </c>
      <c r="K1472" s="3">
        <v>25</v>
      </c>
      <c r="L1472" s="3">
        <v>9</v>
      </c>
      <c r="M1472" s="3">
        <v>5</v>
      </c>
      <c r="N1472" s="3">
        <v>9</v>
      </c>
      <c r="O1472" s="3">
        <v>2</v>
      </c>
      <c r="P1472" s="3">
        <f t="shared" si="0"/>
        <v>0</v>
      </c>
      <c r="Q1472" s="3">
        <f t="shared" si="1"/>
        <v>56.25</v>
      </c>
      <c r="R1472" s="3">
        <f t="shared" si="2"/>
        <v>12.5</v>
      </c>
      <c r="S1472" s="11"/>
    </row>
    <row r="1473" ht="15.75" customHeight="1" spans="1:19">
      <c r="A1473" s="3" t="s">
        <v>32</v>
      </c>
      <c r="B1473" s="3">
        <v>1342</v>
      </c>
      <c r="C1473" s="3">
        <v>9074</v>
      </c>
      <c r="D1473" s="3">
        <v>0.1</v>
      </c>
      <c r="E1473" s="4" t="s">
        <v>98</v>
      </c>
      <c r="F1473" s="4" t="s">
        <v>173</v>
      </c>
      <c r="G1473" s="4" t="s">
        <v>174</v>
      </c>
      <c r="H1473" s="4" t="s">
        <v>25</v>
      </c>
      <c r="I1473" s="4" t="s">
        <v>156</v>
      </c>
      <c r="J1473" s="3">
        <v>4</v>
      </c>
      <c r="K1473" s="3">
        <v>25</v>
      </c>
      <c r="L1473" s="3">
        <v>6</v>
      </c>
      <c r="M1473" s="3">
        <v>6</v>
      </c>
      <c r="N1473" s="3">
        <v>8</v>
      </c>
      <c r="O1473" s="3">
        <v>5</v>
      </c>
      <c r="P1473" s="3">
        <f t="shared" si="0"/>
        <v>0</v>
      </c>
      <c r="Q1473" s="3">
        <f t="shared" si="1"/>
        <v>35.2941176470588</v>
      </c>
      <c r="R1473" s="3">
        <f t="shared" si="2"/>
        <v>29.4117647058824</v>
      </c>
      <c r="S1473" s="11"/>
    </row>
    <row r="1474" ht="15.75" customHeight="1" spans="1:21">
      <c r="A1474" s="3" t="s">
        <v>60</v>
      </c>
      <c r="B1474" s="3">
        <v>1330</v>
      </c>
      <c r="C1474" s="3">
        <v>9133</v>
      </c>
      <c r="D1474" s="3">
        <v>0.1</v>
      </c>
      <c r="E1474" s="4" t="s">
        <v>98</v>
      </c>
      <c r="F1474" s="4" t="s">
        <v>173</v>
      </c>
      <c r="G1474" s="4" t="s">
        <v>174</v>
      </c>
      <c r="H1474" s="4" t="s">
        <v>25</v>
      </c>
      <c r="I1474" s="4" t="s">
        <v>156</v>
      </c>
      <c r="J1474" s="3">
        <v>1</v>
      </c>
      <c r="K1474" s="3">
        <v>25</v>
      </c>
      <c r="L1474" s="3">
        <v>15</v>
      </c>
      <c r="M1474" s="3">
        <v>10</v>
      </c>
      <c r="N1474" s="3">
        <v>0</v>
      </c>
      <c r="O1474" s="3">
        <v>0</v>
      </c>
      <c r="P1474" s="3">
        <f t="shared" si="0"/>
        <v>0</v>
      </c>
      <c r="Q1474" s="3">
        <f t="shared" si="1"/>
        <v>60</v>
      </c>
      <c r="R1474" s="3">
        <f t="shared" si="2"/>
        <v>0</v>
      </c>
      <c r="S1474" s="11">
        <f>AVERAGE(Q1474:Q1477)</f>
        <v>50.3860294117647</v>
      </c>
      <c r="T1474" s="7">
        <f>AVERAGE(R1474:R1477)</f>
        <v>10.4779411764706</v>
      </c>
      <c r="U1474" s="8">
        <f>(L1474+L1475+L1476+L1477+O1474+O1475+O1476+O1477)/(K1474+K1475+K1476+K1477)*100</f>
        <v>47</v>
      </c>
    </row>
    <row r="1475" ht="15.75" customHeight="1" spans="1:19">
      <c r="A1475" s="3" t="s">
        <v>60</v>
      </c>
      <c r="B1475" s="3">
        <v>1330</v>
      </c>
      <c r="C1475" s="3">
        <v>9133</v>
      </c>
      <c r="D1475" s="3">
        <v>0.1</v>
      </c>
      <c r="E1475" s="4" t="s">
        <v>98</v>
      </c>
      <c r="F1475" s="4" t="s">
        <v>173</v>
      </c>
      <c r="G1475" s="4" t="s">
        <v>174</v>
      </c>
      <c r="H1475" s="4" t="s">
        <v>25</v>
      </c>
      <c r="I1475" s="4" t="s">
        <v>156</v>
      </c>
      <c r="J1475" s="3">
        <v>2</v>
      </c>
      <c r="K1475" s="3">
        <v>25</v>
      </c>
      <c r="L1475" s="3">
        <v>10</v>
      </c>
      <c r="M1475" s="3">
        <v>10</v>
      </c>
      <c r="N1475" s="3">
        <v>5</v>
      </c>
      <c r="O1475" s="3">
        <v>0</v>
      </c>
      <c r="P1475" s="3">
        <f t="shared" si="0"/>
        <v>0</v>
      </c>
      <c r="Q1475" s="3">
        <f t="shared" si="1"/>
        <v>50</v>
      </c>
      <c r="R1475" s="3">
        <f t="shared" si="2"/>
        <v>0</v>
      </c>
      <c r="S1475" s="11"/>
    </row>
    <row r="1476" ht="15.75" customHeight="1" spans="1:19">
      <c r="A1476" s="3" t="s">
        <v>60</v>
      </c>
      <c r="B1476" s="3">
        <v>1330</v>
      </c>
      <c r="C1476" s="3">
        <v>9133</v>
      </c>
      <c r="D1476" s="3">
        <v>0.1</v>
      </c>
      <c r="E1476" s="4" t="s">
        <v>98</v>
      </c>
      <c r="F1476" s="4" t="s">
        <v>173</v>
      </c>
      <c r="G1476" s="4" t="s">
        <v>174</v>
      </c>
      <c r="H1476" s="4" t="s">
        <v>25</v>
      </c>
      <c r="I1476" s="4" t="s">
        <v>156</v>
      </c>
      <c r="J1476" s="3">
        <v>3</v>
      </c>
      <c r="K1476" s="3">
        <v>25</v>
      </c>
      <c r="L1476" s="3">
        <v>9</v>
      </c>
      <c r="M1476" s="3">
        <v>5</v>
      </c>
      <c r="N1476" s="3">
        <v>9</v>
      </c>
      <c r="O1476" s="3">
        <v>2</v>
      </c>
      <c r="P1476" s="3">
        <f t="shared" si="0"/>
        <v>0</v>
      </c>
      <c r="Q1476" s="3">
        <f t="shared" si="1"/>
        <v>56.25</v>
      </c>
      <c r="R1476" s="3">
        <f t="shared" si="2"/>
        <v>12.5</v>
      </c>
      <c r="S1476" s="11"/>
    </row>
    <row r="1477" ht="15.75" customHeight="1" spans="1:19">
      <c r="A1477" s="3" t="s">
        <v>60</v>
      </c>
      <c r="B1477" s="3">
        <v>1330</v>
      </c>
      <c r="C1477" s="3">
        <v>9133</v>
      </c>
      <c r="D1477" s="3">
        <v>0.1</v>
      </c>
      <c r="E1477" s="4" t="s">
        <v>98</v>
      </c>
      <c r="F1477" s="4" t="s">
        <v>173</v>
      </c>
      <c r="G1477" s="4" t="s">
        <v>174</v>
      </c>
      <c r="H1477" s="4" t="s">
        <v>25</v>
      </c>
      <c r="I1477" s="4" t="s">
        <v>156</v>
      </c>
      <c r="J1477" s="3">
        <v>4</v>
      </c>
      <c r="K1477" s="3">
        <v>25</v>
      </c>
      <c r="L1477" s="3">
        <v>6</v>
      </c>
      <c r="M1477" s="3">
        <v>6</v>
      </c>
      <c r="N1477" s="3">
        <v>8</v>
      </c>
      <c r="O1477" s="3">
        <v>5</v>
      </c>
      <c r="P1477" s="3">
        <f t="shared" si="0"/>
        <v>0</v>
      </c>
      <c r="Q1477" s="3">
        <f t="shared" si="1"/>
        <v>35.2941176470588</v>
      </c>
      <c r="R1477" s="3">
        <f t="shared" si="2"/>
        <v>29.4117647058824</v>
      </c>
      <c r="S1477" s="11"/>
    </row>
    <row r="1478" ht="15.75" customHeight="1" spans="1:21">
      <c r="A1478" s="3" t="s">
        <v>32</v>
      </c>
      <c r="B1478" s="3">
        <v>1342</v>
      </c>
      <c r="C1478" s="3">
        <v>9074</v>
      </c>
      <c r="D1478" s="3">
        <v>0.1</v>
      </c>
      <c r="E1478" s="3" t="s">
        <v>191</v>
      </c>
      <c r="F1478" s="3" t="s">
        <v>192</v>
      </c>
      <c r="G1478" s="3" t="s">
        <v>193</v>
      </c>
      <c r="H1478" s="4" t="s">
        <v>40</v>
      </c>
      <c r="I1478" s="3" t="s">
        <v>26</v>
      </c>
      <c r="J1478" s="3">
        <v>1</v>
      </c>
      <c r="K1478" s="3">
        <v>25</v>
      </c>
      <c r="L1478" s="3">
        <v>0</v>
      </c>
      <c r="M1478" s="3">
        <v>0</v>
      </c>
      <c r="N1478" s="3">
        <v>3</v>
      </c>
      <c r="O1478" s="3">
        <v>22</v>
      </c>
      <c r="P1478" s="3">
        <f t="shared" si="0"/>
        <v>0</v>
      </c>
      <c r="Q1478" s="3">
        <f t="shared" si="1"/>
        <v>0</v>
      </c>
      <c r="R1478" s="3">
        <f t="shared" si="2"/>
        <v>100</v>
      </c>
      <c r="S1478" s="11">
        <f>AVERAGE(Q1478:Q1481)</f>
        <v>2.17391304347826</v>
      </c>
      <c r="T1478" s="7">
        <f>AVERAGE(R1478:R1481)</f>
        <v>97.8260869565217</v>
      </c>
      <c r="U1478" s="8">
        <f>(L1478+L1479+L1480+L1481+O1478+O1479+O1480+O1481)/(K1478+K1479+K1480+K1481)*100</f>
        <v>91</v>
      </c>
    </row>
    <row r="1479" ht="15.75" customHeight="1" spans="1:19">
      <c r="A1479" s="3" t="s">
        <v>32</v>
      </c>
      <c r="B1479" s="3">
        <v>1342</v>
      </c>
      <c r="C1479" s="3">
        <v>9074</v>
      </c>
      <c r="D1479" s="3">
        <v>0.1</v>
      </c>
      <c r="E1479" s="3" t="s">
        <v>191</v>
      </c>
      <c r="F1479" s="3" t="s">
        <v>192</v>
      </c>
      <c r="G1479" s="3" t="s">
        <v>193</v>
      </c>
      <c r="H1479" s="4" t="s">
        <v>40</v>
      </c>
      <c r="I1479" s="3" t="s">
        <v>26</v>
      </c>
      <c r="J1479" s="3">
        <v>2</v>
      </c>
      <c r="K1479" s="3">
        <v>25</v>
      </c>
      <c r="L1479" s="3">
        <v>1</v>
      </c>
      <c r="M1479" s="3">
        <v>0</v>
      </c>
      <c r="N1479" s="3">
        <v>2</v>
      </c>
      <c r="O1479" s="3">
        <v>22</v>
      </c>
      <c r="P1479" s="3">
        <f t="shared" si="0"/>
        <v>0</v>
      </c>
      <c r="Q1479" s="3">
        <f t="shared" si="1"/>
        <v>4.34782608695652</v>
      </c>
      <c r="R1479" s="3">
        <f t="shared" si="2"/>
        <v>95.6521739130435</v>
      </c>
      <c r="S1479" s="11"/>
    </row>
    <row r="1480" ht="15.75" customHeight="1" spans="1:19">
      <c r="A1480" s="3" t="s">
        <v>32</v>
      </c>
      <c r="B1480" s="3">
        <v>1342</v>
      </c>
      <c r="C1480" s="3">
        <v>9074</v>
      </c>
      <c r="D1480" s="3">
        <v>0.1</v>
      </c>
      <c r="E1480" s="3" t="s">
        <v>191</v>
      </c>
      <c r="F1480" s="3" t="s">
        <v>192</v>
      </c>
      <c r="G1480" s="3" t="s">
        <v>193</v>
      </c>
      <c r="H1480" s="4" t="s">
        <v>40</v>
      </c>
      <c r="I1480" s="3" t="s">
        <v>26</v>
      </c>
      <c r="J1480" s="3">
        <v>3</v>
      </c>
      <c r="K1480" s="3">
        <v>25</v>
      </c>
      <c r="L1480" s="3">
        <v>1</v>
      </c>
      <c r="M1480" s="3">
        <v>0</v>
      </c>
      <c r="N1480" s="3">
        <v>2</v>
      </c>
      <c r="O1480" s="3">
        <v>22</v>
      </c>
      <c r="P1480" s="3">
        <f t="shared" si="0"/>
        <v>0</v>
      </c>
      <c r="Q1480" s="3">
        <f t="shared" si="1"/>
        <v>4.34782608695652</v>
      </c>
      <c r="R1480" s="3">
        <f t="shared" si="2"/>
        <v>95.6521739130435</v>
      </c>
      <c r="S1480" s="11"/>
    </row>
    <row r="1481" ht="15.75" customHeight="1" spans="1:19">
      <c r="A1481" s="3" t="s">
        <v>32</v>
      </c>
      <c r="B1481" s="3">
        <v>1342</v>
      </c>
      <c r="C1481" s="3">
        <v>9074</v>
      </c>
      <c r="D1481" s="3">
        <v>0.1</v>
      </c>
      <c r="E1481" s="3" t="s">
        <v>191</v>
      </c>
      <c r="F1481" s="3" t="s">
        <v>192</v>
      </c>
      <c r="G1481" s="3" t="s">
        <v>193</v>
      </c>
      <c r="H1481" s="4" t="s">
        <v>40</v>
      </c>
      <c r="I1481" s="3" t="s">
        <v>26</v>
      </c>
      <c r="J1481" s="3">
        <v>4</v>
      </c>
      <c r="K1481" s="3">
        <v>25</v>
      </c>
      <c r="L1481" s="3">
        <v>0</v>
      </c>
      <c r="M1481" s="3">
        <v>0</v>
      </c>
      <c r="N1481" s="3">
        <v>2</v>
      </c>
      <c r="O1481" s="3">
        <v>23</v>
      </c>
      <c r="P1481" s="3">
        <f t="shared" si="0"/>
        <v>0</v>
      </c>
      <c r="Q1481" s="3">
        <f t="shared" si="1"/>
        <v>0</v>
      </c>
      <c r="R1481" s="3">
        <f t="shared" si="2"/>
        <v>100</v>
      </c>
      <c r="S1481" s="11"/>
    </row>
    <row r="1482" ht="15.75" customHeight="1" spans="1:21">
      <c r="A1482" s="3" t="s">
        <v>117</v>
      </c>
      <c r="B1482" s="3">
        <v>1001</v>
      </c>
      <c r="C1482" s="3">
        <v>4887</v>
      </c>
      <c r="D1482" s="3">
        <v>2</v>
      </c>
      <c r="E1482" s="3" t="s">
        <v>144</v>
      </c>
      <c r="F1482" s="3" t="s">
        <v>214</v>
      </c>
      <c r="G1482" s="3" t="s">
        <v>206</v>
      </c>
      <c r="H1482" s="4" t="s">
        <v>147</v>
      </c>
      <c r="I1482" s="3" t="s">
        <v>26</v>
      </c>
      <c r="J1482" s="3">
        <v>1</v>
      </c>
      <c r="K1482" s="3">
        <v>25</v>
      </c>
      <c r="L1482" s="3">
        <v>1</v>
      </c>
      <c r="M1482" s="3">
        <v>7</v>
      </c>
      <c r="N1482" s="3">
        <v>0</v>
      </c>
      <c r="O1482" s="3">
        <v>17</v>
      </c>
      <c r="P1482" s="3">
        <f t="shared" si="0"/>
        <v>0</v>
      </c>
      <c r="Q1482" s="3">
        <f t="shared" si="1"/>
        <v>4</v>
      </c>
      <c r="R1482" s="3">
        <f t="shared" si="2"/>
        <v>68</v>
      </c>
      <c r="S1482" s="11">
        <f>AVERAGE(Q1482:Q1485)</f>
        <v>6.50595238095238</v>
      </c>
      <c r="T1482" s="7">
        <f>AVERAGE(R1482:R1485)</f>
        <v>72.9523809523809</v>
      </c>
      <c r="U1482" s="8">
        <f>(L1482+L1483+L1484+L1485+O1482+O1483+O1484+O1485)/(K1482+K1483+K1484+K1485)*100</f>
        <v>72</v>
      </c>
    </row>
    <row r="1483" ht="15.75" customHeight="1" spans="1:19">
      <c r="A1483" s="3" t="s">
        <v>117</v>
      </c>
      <c r="B1483" s="3">
        <v>1001</v>
      </c>
      <c r="C1483" s="3">
        <v>4887</v>
      </c>
      <c r="D1483" s="3">
        <v>2</v>
      </c>
      <c r="E1483" s="3" t="s">
        <v>144</v>
      </c>
      <c r="F1483" s="3" t="s">
        <v>214</v>
      </c>
      <c r="G1483" s="3" t="s">
        <v>206</v>
      </c>
      <c r="H1483" s="4" t="s">
        <v>147</v>
      </c>
      <c r="I1483" s="3" t="s">
        <v>26</v>
      </c>
      <c r="J1483" s="3">
        <v>2</v>
      </c>
      <c r="K1483" s="3">
        <v>25</v>
      </c>
      <c r="L1483" s="3">
        <v>3</v>
      </c>
      <c r="M1483" s="3">
        <v>5</v>
      </c>
      <c r="N1483" s="3">
        <v>1</v>
      </c>
      <c r="O1483" s="3">
        <v>16</v>
      </c>
      <c r="P1483" s="3">
        <f t="shared" si="0"/>
        <v>0</v>
      </c>
      <c r="Q1483" s="3">
        <f t="shared" si="1"/>
        <v>12.5</v>
      </c>
      <c r="R1483" s="3">
        <f t="shared" si="2"/>
        <v>66.6666666666667</v>
      </c>
      <c r="S1483" s="11"/>
    </row>
    <row r="1484" ht="15.75" customHeight="1" spans="1:19">
      <c r="A1484" s="3" t="s">
        <v>117</v>
      </c>
      <c r="B1484" s="3">
        <v>1001</v>
      </c>
      <c r="C1484" s="3">
        <v>4887</v>
      </c>
      <c r="D1484" s="3">
        <v>2</v>
      </c>
      <c r="E1484" s="3" t="s">
        <v>144</v>
      </c>
      <c r="F1484" s="3" t="s">
        <v>214</v>
      </c>
      <c r="G1484" s="3" t="s">
        <v>206</v>
      </c>
      <c r="H1484" s="4" t="s">
        <v>147</v>
      </c>
      <c r="I1484" s="3" t="s">
        <v>26</v>
      </c>
      <c r="J1484" s="3">
        <v>3</v>
      </c>
      <c r="K1484" s="3">
        <v>25</v>
      </c>
      <c r="L1484" s="3">
        <v>1</v>
      </c>
      <c r="M1484" s="3">
        <v>3</v>
      </c>
      <c r="N1484" s="3">
        <v>4</v>
      </c>
      <c r="O1484" s="3">
        <v>17</v>
      </c>
      <c r="P1484" s="3">
        <f t="shared" si="0"/>
        <v>0</v>
      </c>
      <c r="Q1484" s="3">
        <f t="shared" si="1"/>
        <v>4.76190476190476</v>
      </c>
      <c r="R1484" s="3">
        <f t="shared" si="2"/>
        <v>80.9523809523809</v>
      </c>
      <c r="S1484" s="11"/>
    </row>
    <row r="1485" ht="15.75" customHeight="1" spans="1:19">
      <c r="A1485" s="3" t="s">
        <v>117</v>
      </c>
      <c r="B1485" s="3">
        <v>1001</v>
      </c>
      <c r="C1485" s="3">
        <v>4887</v>
      </c>
      <c r="D1485" s="3">
        <v>2</v>
      </c>
      <c r="E1485" s="3" t="s">
        <v>144</v>
      </c>
      <c r="F1485" s="3" t="s">
        <v>214</v>
      </c>
      <c r="G1485" s="3" t="s">
        <v>206</v>
      </c>
      <c r="H1485" s="4" t="s">
        <v>147</v>
      </c>
      <c r="I1485" s="3" t="s">
        <v>26</v>
      </c>
      <c r="J1485" s="3">
        <v>4</v>
      </c>
      <c r="K1485" s="3">
        <v>25</v>
      </c>
      <c r="L1485" s="3">
        <v>1</v>
      </c>
      <c r="M1485" s="3">
        <v>4</v>
      </c>
      <c r="N1485" s="3">
        <v>4</v>
      </c>
      <c r="O1485" s="3">
        <v>16</v>
      </c>
      <c r="P1485" s="3">
        <f t="shared" si="0"/>
        <v>0</v>
      </c>
      <c r="Q1485" s="3">
        <f t="shared" si="1"/>
        <v>4.76190476190476</v>
      </c>
      <c r="R1485" s="3">
        <f t="shared" si="2"/>
        <v>76.1904761904762</v>
      </c>
      <c r="S1485" s="11"/>
    </row>
    <row r="1486" ht="15.75" customHeight="1" spans="1:21">
      <c r="A1486" s="3" t="s">
        <v>57</v>
      </c>
      <c r="B1486" s="3">
        <v>1847</v>
      </c>
      <c r="C1486" s="3">
        <v>10763</v>
      </c>
      <c r="D1486" s="3">
        <v>1</v>
      </c>
      <c r="E1486" s="3" t="s">
        <v>144</v>
      </c>
      <c r="F1486" s="3" t="s">
        <v>109</v>
      </c>
      <c r="G1486" s="3" t="s">
        <v>146</v>
      </c>
      <c r="H1486" s="4" t="s">
        <v>147</v>
      </c>
      <c r="I1486" s="3" t="s">
        <v>26</v>
      </c>
      <c r="J1486" s="3">
        <v>1</v>
      </c>
      <c r="K1486" s="3">
        <v>20</v>
      </c>
      <c r="L1486" s="3">
        <v>2</v>
      </c>
      <c r="M1486" s="3">
        <v>0</v>
      </c>
      <c r="N1486" s="3">
        <v>3</v>
      </c>
      <c r="O1486" s="3">
        <v>15</v>
      </c>
      <c r="P1486" s="3">
        <f t="shared" si="0"/>
        <v>0</v>
      </c>
      <c r="Q1486" s="3">
        <f t="shared" si="1"/>
        <v>11.7647058823529</v>
      </c>
      <c r="R1486" s="3">
        <f t="shared" si="2"/>
        <v>88.2352941176471</v>
      </c>
      <c r="S1486" s="11">
        <f>AVERAGE(Q1486:Q1489)</f>
        <v>9.88562091503268</v>
      </c>
      <c r="T1486" s="7">
        <f>AVERAGE(R1486:R1489)</f>
        <v>87.3366013071896</v>
      </c>
      <c r="U1486" s="8">
        <f>(L1486+L1487+L1488+L1489+O1486+O1487+O1488+O1489)/(K1486+K1487+K1488+K1489)*100</f>
        <v>87.5</v>
      </c>
    </row>
    <row r="1487" ht="15.75" customHeight="1" spans="1:19">
      <c r="A1487" s="3" t="s">
        <v>57</v>
      </c>
      <c r="B1487" s="3">
        <v>1847</v>
      </c>
      <c r="C1487" s="3">
        <v>10763</v>
      </c>
      <c r="D1487" s="3">
        <v>1</v>
      </c>
      <c r="E1487" s="3" t="s">
        <v>144</v>
      </c>
      <c r="F1487" s="3" t="s">
        <v>109</v>
      </c>
      <c r="G1487" s="3" t="s">
        <v>146</v>
      </c>
      <c r="H1487" s="4" t="s">
        <v>147</v>
      </c>
      <c r="I1487" s="3" t="s">
        <v>26</v>
      </c>
      <c r="J1487" s="3">
        <v>2</v>
      </c>
      <c r="K1487" s="3">
        <v>20</v>
      </c>
      <c r="L1487" s="3">
        <v>4</v>
      </c>
      <c r="M1487" s="3">
        <v>1</v>
      </c>
      <c r="N1487" s="3">
        <v>2</v>
      </c>
      <c r="O1487" s="3">
        <v>13</v>
      </c>
      <c r="P1487" s="3">
        <f t="shared" si="0"/>
        <v>0</v>
      </c>
      <c r="Q1487" s="3">
        <f t="shared" si="1"/>
        <v>22.2222222222222</v>
      </c>
      <c r="R1487" s="3">
        <f t="shared" si="2"/>
        <v>72.2222222222222</v>
      </c>
      <c r="S1487" s="11"/>
    </row>
    <row r="1488" ht="15.75" customHeight="1" spans="1:19">
      <c r="A1488" s="3" t="s">
        <v>57</v>
      </c>
      <c r="B1488" s="3">
        <v>1847</v>
      </c>
      <c r="C1488" s="3">
        <v>10763</v>
      </c>
      <c r="D1488" s="3">
        <v>1</v>
      </c>
      <c r="E1488" s="3" t="s">
        <v>144</v>
      </c>
      <c r="F1488" s="3" t="s">
        <v>109</v>
      </c>
      <c r="G1488" s="3" t="s">
        <v>146</v>
      </c>
      <c r="H1488" s="4" t="s">
        <v>147</v>
      </c>
      <c r="I1488" s="3" t="s">
        <v>26</v>
      </c>
      <c r="J1488" s="3">
        <v>3</v>
      </c>
      <c r="K1488" s="3">
        <v>20</v>
      </c>
      <c r="L1488" s="3">
        <v>0</v>
      </c>
      <c r="M1488" s="3">
        <v>0</v>
      </c>
      <c r="N1488" s="3">
        <v>1</v>
      </c>
      <c r="O1488" s="3">
        <v>19</v>
      </c>
      <c r="P1488" s="3">
        <f t="shared" si="0"/>
        <v>0</v>
      </c>
      <c r="Q1488" s="3">
        <f t="shared" si="1"/>
        <v>0</v>
      </c>
      <c r="R1488" s="3">
        <f t="shared" si="2"/>
        <v>100</v>
      </c>
      <c r="S1488" s="11"/>
    </row>
    <row r="1489" ht="15.75" customHeight="1" spans="1:19">
      <c r="A1489" s="3" t="s">
        <v>57</v>
      </c>
      <c r="B1489" s="3">
        <v>1847</v>
      </c>
      <c r="C1489" s="3">
        <v>10763</v>
      </c>
      <c r="D1489" s="3">
        <v>1</v>
      </c>
      <c r="E1489" s="3" t="s">
        <v>144</v>
      </c>
      <c r="F1489" s="3" t="s">
        <v>109</v>
      </c>
      <c r="G1489" s="3" t="s">
        <v>146</v>
      </c>
      <c r="H1489" s="4" t="s">
        <v>147</v>
      </c>
      <c r="I1489" s="3" t="s">
        <v>26</v>
      </c>
      <c r="J1489" s="3">
        <v>4</v>
      </c>
      <c r="K1489" s="3">
        <v>20</v>
      </c>
      <c r="L1489" s="3">
        <v>1</v>
      </c>
      <c r="M1489" s="3">
        <v>1</v>
      </c>
      <c r="N1489" s="3">
        <v>2</v>
      </c>
      <c r="O1489" s="3">
        <v>16</v>
      </c>
      <c r="P1489" s="3">
        <f t="shared" si="0"/>
        <v>0</v>
      </c>
      <c r="Q1489" s="3">
        <f t="shared" si="1"/>
        <v>5.55555555555556</v>
      </c>
      <c r="R1489" s="3">
        <f t="shared" si="2"/>
        <v>88.8888888888889</v>
      </c>
      <c r="S1489" s="11"/>
    </row>
    <row r="1490" ht="15.75" customHeight="1" spans="1:21">
      <c r="A1490" s="3" t="s">
        <v>93</v>
      </c>
      <c r="B1490" s="3">
        <v>1661</v>
      </c>
      <c r="C1490" s="3">
        <v>10216</v>
      </c>
      <c r="D1490" s="3">
        <v>0.1</v>
      </c>
      <c r="E1490" s="3" t="s">
        <v>144</v>
      </c>
      <c r="F1490" s="3" t="s">
        <v>199</v>
      </c>
      <c r="G1490" s="3" t="s">
        <v>200</v>
      </c>
      <c r="H1490" s="4" t="s">
        <v>25</v>
      </c>
      <c r="I1490" s="3" t="s">
        <v>26</v>
      </c>
      <c r="J1490" s="3">
        <v>1</v>
      </c>
      <c r="K1490" s="3">
        <v>25</v>
      </c>
      <c r="L1490" s="3">
        <v>0</v>
      </c>
      <c r="M1490" s="3">
        <v>0</v>
      </c>
      <c r="N1490" s="3">
        <v>3</v>
      </c>
      <c r="O1490" s="3">
        <v>22</v>
      </c>
      <c r="P1490" s="3">
        <f t="shared" si="0"/>
        <v>0</v>
      </c>
      <c r="Q1490" s="3">
        <f t="shared" si="1"/>
        <v>0</v>
      </c>
      <c r="R1490" s="3">
        <f t="shared" si="2"/>
        <v>100</v>
      </c>
      <c r="S1490" s="11">
        <f>AVERAGE(Q1490:Q1493)</f>
        <v>4.04166666666667</v>
      </c>
      <c r="T1490" s="7">
        <f>AVERAGE(R1490:R1493)</f>
        <v>95.9583333333333</v>
      </c>
      <c r="U1490" s="8">
        <f>(L1490+L1491+L1492+L1493+O1490+O1491+O1492+O1493)/(K1490+K1491+K1492+K1493)*100</f>
        <v>93</v>
      </c>
    </row>
    <row r="1491" ht="15.75" customHeight="1" spans="1:19">
      <c r="A1491" s="3" t="s">
        <v>93</v>
      </c>
      <c r="B1491" s="3">
        <v>1661</v>
      </c>
      <c r="C1491" s="3">
        <v>10216</v>
      </c>
      <c r="D1491" s="3">
        <v>0.1</v>
      </c>
      <c r="E1491" s="3" t="s">
        <v>144</v>
      </c>
      <c r="F1491" s="3" t="s">
        <v>199</v>
      </c>
      <c r="G1491" s="3" t="s">
        <v>200</v>
      </c>
      <c r="H1491" s="4" t="s">
        <v>25</v>
      </c>
      <c r="I1491" s="3" t="s">
        <v>26</v>
      </c>
      <c r="J1491" s="3">
        <v>2</v>
      </c>
      <c r="K1491" s="3">
        <v>25</v>
      </c>
      <c r="L1491" s="3">
        <v>1</v>
      </c>
      <c r="M1491" s="3">
        <v>0</v>
      </c>
      <c r="N1491" s="3">
        <v>1</v>
      </c>
      <c r="O1491" s="3">
        <v>23</v>
      </c>
      <c r="P1491" s="3">
        <f t="shared" si="0"/>
        <v>0</v>
      </c>
      <c r="Q1491" s="3">
        <f t="shared" si="1"/>
        <v>4.16666666666667</v>
      </c>
      <c r="R1491" s="3">
        <f t="shared" si="2"/>
        <v>95.8333333333333</v>
      </c>
      <c r="S1491" s="11"/>
    </row>
    <row r="1492" ht="15.75" customHeight="1" spans="1:19">
      <c r="A1492" s="3" t="s">
        <v>93</v>
      </c>
      <c r="B1492" s="3">
        <v>1661</v>
      </c>
      <c r="C1492" s="3">
        <v>10216</v>
      </c>
      <c r="D1492" s="3">
        <v>0.1</v>
      </c>
      <c r="E1492" s="3" t="s">
        <v>144</v>
      </c>
      <c r="F1492" s="3" t="s">
        <v>199</v>
      </c>
      <c r="G1492" s="3" t="s">
        <v>200</v>
      </c>
      <c r="H1492" s="4" t="s">
        <v>25</v>
      </c>
      <c r="I1492" s="3" t="s">
        <v>26</v>
      </c>
      <c r="J1492" s="3">
        <v>3</v>
      </c>
      <c r="K1492" s="3">
        <v>25</v>
      </c>
      <c r="L1492" s="3">
        <v>3</v>
      </c>
      <c r="M1492" s="3">
        <v>0</v>
      </c>
      <c r="N1492" s="3">
        <v>0</v>
      </c>
      <c r="O1492" s="3">
        <v>22</v>
      </c>
      <c r="P1492" s="3">
        <f t="shared" si="0"/>
        <v>0</v>
      </c>
      <c r="Q1492" s="3">
        <f t="shared" si="1"/>
        <v>12</v>
      </c>
      <c r="R1492" s="3">
        <f t="shared" si="2"/>
        <v>88</v>
      </c>
      <c r="S1492" s="11"/>
    </row>
    <row r="1493" ht="15.75" customHeight="1" spans="1:19">
      <c r="A1493" s="3" t="s">
        <v>93</v>
      </c>
      <c r="B1493" s="3">
        <v>1661</v>
      </c>
      <c r="C1493" s="3">
        <v>10216</v>
      </c>
      <c r="D1493" s="3">
        <v>0.1</v>
      </c>
      <c r="E1493" s="3" t="s">
        <v>144</v>
      </c>
      <c r="F1493" s="3" t="s">
        <v>199</v>
      </c>
      <c r="G1493" s="3" t="s">
        <v>200</v>
      </c>
      <c r="H1493" s="4" t="s">
        <v>25</v>
      </c>
      <c r="I1493" s="3" t="s">
        <v>26</v>
      </c>
      <c r="J1493" s="3">
        <v>4</v>
      </c>
      <c r="K1493" s="3">
        <v>25</v>
      </c>
      <c r="L1493" s="3">
        <v>0</v>
      </c>
      <c r="M1493" s="3">
        <v>0</v>
      </c>
      <c r="N1493" s="3">
        <v>3</v>
      </c>
      <c r="O1493" s="3">
        <v>22</v>
      </c>
      <c r="P1493" s="3">
        <f t="shared" si="0"/>
        <v>0</v>
      </c>
      <c r="Q1493" s="3">
        <f t="shared" si="1"/>
        <v>0</v>
      </c>
      <c r="R1493" s="3">
        <f t="shared" si="2"/>
        <v>100</v>
      </c>
      <c r="S1493" s="11"/>
    </row>
    <row r="1494" ht="15.75" customHeight="1" spans="1:21">
      <c r="A1494" s="3" t="s">
        <v>42</v>
      </c>
      <c r="B1494" s="3">
        <v>1441</v>
      </c>
      <c r="C1494" s="3">
        <v>9420</v>
      </c>
      <c r="D1494" s="3">
        <v>0.1</v>
      </c>
      <c r="E1494" s="3" t="s">
        <v>197</v>
      </c>
      <c r="F1494" s="3" t="s">
        <v>195</v>
      </c>
      <c r="G1494" s="3" t="s">
        <v>198</v>
      </c>
      <c r="H1494" s="4" t="s">
        <v>25</v>
      </c>
      <c r="I1494" s="3" t="s">
        <v>26</v>
      </c>
      <c r="J1494" s="3">
        <v>1</v>
      </c>
      <c r="K1494" s="3">
        <v>25</v>
      </c>
      <c r="L1494" s="3">
        <v>0</v>
      </c>
      <c r="M1494" s="3">
        <v>0</v>
      </c>
      <c r="N1494" s="3">
        <v>7</v>
      </c>
      <c r="O1494" s="3">
        <v>18</v>
      </c>
      <c r="P1494" s="3">
        <f t="shared" si="0"/>
        <v>0</v>
      </c>
      <c r="Q1494" s="3">
        <f t="shared" si="1"/>
        <v>0</v>
      </c>
      <c r="R1494" s="3">
        <f t="shared" si="2"/>
        <v>100</v>
      </c>
      <c r="S1494" s="11">
        <f>AVERAGE(Q1494:Q1497)</f>
        <v>6.99760765550239</v>
      </c>
      <c r="T1494" s="7">
        <f>AVERAGE(R1494:R1497)</f>
        <v>93.0023923444976</v>
      </c>
      <c r="U1494" s="8">
        <f>(L1494+L1495+L1496+L1497+O1494+O1495+O1496+O1497)/(K1494+K1495+K1496+K1497)*100</f>
        <v>74</v>
      </c>
    </row>
    <row r="1495" ht="15.75" customHeight="1" spans="1:19">
      <c r="A1495" s="3" t="s">
        <v>42</v>
      </c>
      <c r="B1495" s="3">
        <v>1441</v>
      </c>
      <c r="C1495" s="3">
        <v>9420</v>
      </c>
      <c r="D1495" s="3">
        <v>0.1</v>
      </c>
      <c r="E1495" s="3" t="s">
        <v>197</v>
      </c>
      <c r="F1495" s="3" t="s">
        <v>195</v>
      </c>
      <c r="G1495" s="3" t="s">
        <v>198</v>
      </c>
      <c r="H1495" s="4" t="s">
        <v>25</v>
      </c>
      <c r="I1495" s="3" t="s">
        <v>26</v>
      </c>
      <c r="J1495" s="3">
        <v>2</v>
      </c>
      <c r="K1495" s="3">
        <v>25</v>
      </c>
      <c r="L1495" s="3">
        <v>1</v>
      </c>
      <c r="M1495" s="3">
        <v>0</v>
      </c>
      <c r="N1495" s="3">
        <v>6</v>
      </c>
      <c r="O1495" s="3">
        <v>18</v>
      </c>
      <c r="P1495" s="3">
        <f t="shared" si="0"/>
        <v>0</v>
      </c>
      <c r="Q1495" s="3">
        <f t="shared" si="1"/>
        <v>5.26315789473684</v>
      </c>
      <c r="R1495" s="3">
        <f t="shared" si="2"/>
        <v>94.7368421052632</v>
      </c>
      <c r="S1495" s="11"/>
    </row>
    <row r="1496" ht="15.75" customHeight="1" spans="1:19">
      <c r="A1496" s="3" t="s">
        <v>42</v>
      </c>
      <c r="B1496" s="3">
        <v>1441</v>
      </c>
      <c r="C1496" s="3">
        <v>9420</v>
      </c>
      <c r="D1496" s="3">
        <v>0.1</v>
      </c>
      <c r="E1496" s="3" t="s">
        <v>197</v>
      </c>
      <c r="F1496" s="3" t="s">
        <v>195</v>
      </c>
      <c r="G1496" s="3" t="s">
        <v>198</v>
      </c>
      <c r="H1496" s="4" t="s">
        <v>25</v>
      </c>
      <c r="I1496" s="3" t="s">
        <v>26</v>
      </c>
      <c r="J1496" s="3">
        <v>3</v>
      </c>
      <c r="K1496" s="3">
        <v>25</v>
      </c>
      <c r="L1496" s="3">
        <v>0</v>
      </c>
      <c r="M1496" s="3">
        <v>0</v>
      </c>
      <c r="N1496" s="3">
        <v>10</v>
      </c>
      <c r="O1496" s="3">
        <v>15</v>
      </c>
      <c r="P1496" s="3">
        <f t="shared" si="0"/>
        <v>0</v>
      </c>
      <c r="Q1496" s="3">
        <f t="shared" si="1"/>
        <v>0</v>
      </c>
      <c r="R1496" s="3">
        <f t="shared" si="2"/>
        <v>100</v>
      </c>
      <c r="S1496" s="11"/>
    </row>
    <row r="1497" ht="15.75" customHeight="1" spans="1:19">
      <c r="A1497" s="3" t="s">
        <v>42</v>
      </c>
      <c r="B1497" s="3">
        <v>1441</v>
      </c>
      <c r="C1497" s="3">
        <v>9420</v>
      </c>
      <c r="D1497" s="3">
        <v>0.1</v>
      </c>
      <c r="E1497" s="3" t="s">
        <v>197</v>
      </c>
      <c r="F1497" s="3" t="s">
        <v>195</v>
      </c>
      <c r="G1497" s="3" t="s">
        <v>198</v>
      </c>
      <c r="H1497" s="4" t="s">
        <v>25</v>
      </c>
      <c r="I1497" s="3" t="s">
        <v>26</v>
      </c>
      <c r="J1497" s="3">
        <v>4</v>
      </c>
      <c r="K1497" s="3">
        <v>25</v>
      </c>
      <c r="L1497" s="3">
        <v>5</v>
      </c>
      <c r="M1497" s="3">
        <v>0</v>
      </c>
      <c r="N1497" s="3">
        <v>3</v>
      </c>
      <c r="O1497" s="3">
        <v>17</v>
      </c>
      <c r="P1497" s="3">
        <f t="shared" si="0"/>
        <v>0</v>
      </c>
      <c r="Q1497" s="3">
        <f t="shared" si="1"/>
        <v>22.7272727272727</v>
      </c>
      <c r="R1497" s="3">
        <f t="shared" si="2"/>
        <v>77.2727272727273</v>
      </c>
      <c r="S1497" s="11"/>
    </row>
    <row r="1498" ht="15.75" customHeight="1" spans="1:21">
      <c r="A1498" s="3" t="s">
        <v>93</v>
      </c>
      <c r="B1498" s="3">
        <v>1661</v>
      </c>
      <c r="C1498" s="3">
        <v>10216</v>
      </c>
      <c r="D1498" s="3">
        <v>0.1</v>
      </c>
      <c r="E1498" s="3" t="s">
        <v>144</v>
      </c>
      <c r="F1498" s="3" t="s">
        <v>201</v>
      </c>
      <c r="G1498" s="3" t="s">
        <v>202</v>
      </c>
      <c r="H1498" s="4" t="s">
        <v>25</v>
      </c>
      <c r="I1498" s="3" t="s">
        <v>26</v>
      </c>
      <c r="J1498" s="3">
        <v>1</v>
      </c>
      <c r="K1498" s="3">
        <v>25</v>
      </c>
      <c r="L1498" s="3">
        <v>22</v>
      </c>
      <c r="M1498" s="3">
        <v>0</v>
      </c>
      <c r="N1498" s="3">
        <v>2</v>
      </c>
      <c r="O1498" s="3">
        <v>1</v>
      </c>
      <c r="P1498" s="3">
        <f t="shared" si="0"/>
        <v>0</v>
      </c>
      <c r="Q1498" s="3">
        <f t="shared" si="1"/>
        <v>95.6521739130435</v>
      </c>
      <c r="R1498" s="3">
        <f t="shared" si="2"/>
        <v>4.34782608695652</v>
      </c>
      <c r="S1498" s="11">
        <f>AVERAGE(Q1498:Q1501)</f>
        <v>91.8297101449275</v>
      </c>
      <c r="T1498" s="7">
        <f>AVERAGE(R1498:R1501)</f>
        <v>3.1286231884058</v>
      </c>
      <c r="U1498" s="8">
        <f>(L1498+L1499+L1500+L1501+O1498+O1499+O1500+O1501)/(K1498+K1499+K1500+K1501)*100</f>
        <v>92</v>
      </c>
    </row>
    <row r="1499" ht="15.75" customHeight="1" spans="1:19">
      <c r="A1499" s="3" t="s">
        <v>93</v>
      </c>
      <c r="B1499" s="3">
        <v>1661</v>
      </c>
      <c r="C1499" s="3">
        <v>10216</v>
      </c>
      <c r="D1499" s="3">
        <v>0.1</v>
      </c>
      <c r="E1499" s="3" t="s">
        <v>144</v>
      </c>
      <c r="F1499" s="3" t="s">
        <v>201</v>
      </c>
      <c r="G1499" s="3" t="s">
        <v>202</v>
      </c>
      <c r="H1499" s="4" t="s">
        <v>25</v>
      </c>
      <c r="I1499" s="3" t="s">
        <v>26</v>
      </c>
      <c r="J1499" s="3">
        <v>2</v>
      </c>
      <c r="K1499" s="3">
        <v>25</v>
      </c>
      <c r="L1499" s="3">
        <v>22</v>
      </c>
      <c r="M1499" s="3">
        <v>2</v>
      </c>
      <c r="N1499" s="3">
        <v>0</v>
      </c>
      <c r="O1499" s="3">
        <v>1</v>
      </c>
      <c r="P1499" s="3">
        <f t="shared" si="0"/>
        <v>0</v>
      </c>
      <c r="Q1499" s="3">
        <f t="shared" si="1"/>
        <v>88</v>
      </c>
      <c r="R1499" s="3">
        <f t="shared" si="2"/>
        <v>4</v>
      </c>
      <c r="S1499" s="11"/>
    </row>
    <row r="1500" ht="15.75" customHeight="1" spans="1:19">
      <c r="A1500" s="3" t="s">
        <v>93</v>
      </c>
      <c r="B1500" s="3">
        <v>1661</v>
      </c>
      <c r="C1500" s="3">
        <v>10216</v>
      </c>
      <c r="D1500" s="3">
        <v>0.1</v>
      </c>
      <c r="E1500" s="3" t="s">
        <v>144</v>
      </c>
      <c r="F1500" s="3" t="s">
        <v>201</v>
      </c>
      <c r="G1500" s="3" t="s">
        <v>202</v>
      </c>
      <c r="H1500" s="4" t="s">
        <v>25</v>
      </c>
      <c r="I1500" s="3" t="s">
        <v>26</v>
      </c>
      <c r="J1500" s="3">
        <v>3</v>
      </c>
      <c r="K1500" s="3">
        <v>25</v>
      </c>
      <c r="L1500" s="3">
        <v>22</v>
      </c>
      <c r="M1500" s="3">
        <v>1</v>
      </c>
      <c r="N1500" s="3">
        <v>1</v>
      </c>
      <c r="O1500" s="3">
        <v>1</v>
      </c>
      <c r="P1500" s="3">
        <f t="shared" si="0"/>
        <v>0</v>
      </c>
      <c r="Q1500" s="3">
        <f t="shared" si="1"/>
        <v>91.6666666666667</v>
      </c>
      <c r="R1500" s="3">
        <f t="shared" si="2"/>
        <v>4.16666666666667</v>
      </c>
      <c r="S1500" s="11"/>
    </row>
    <row r="1501" ht="15.75" customHeight="1" spans="1:19">
      <c r="A1501" s="3" t="s">
        <v>93</v>
      </c>
      <c r="B1501" s="3">
        <v>1661</v>
      </c>
      <c r="C1501" s="3">
        <v>10216</v>
      </c>
      <c r="D1501" s="3">
        <v>0.1</v>
      </c>
      <c r="E1501" s="3" t="s">
        <v>144</v>
      </c>
      <c r="F1501" s="3" t="s">
        <v>201</v>
      </c>
      <c r="G1501" s="3" t="s">
        <v>202</v>
      </c>
      <c r="H1501" s="4" t="s">
        <v>25</v>
      </c>
      <c r="I1501" s="3" t="s">
        <v>26</v>
      </c>
      <c r="J1501" s="3">
        <v>4</v>
      </c>
      <c r="K1501" s="3">
        <v>25</v>
      </c>
      <c r="L1501" s="3">
        <v>23</v>
      </c>
      <c r="M1501" s="3">
        <v>2</v>
      </c>
      <c r="N1501" s="3">
        <v>0</v>
      </c>
      <c r="O1501" s="3">
        <v>0</v>
      </c>
      <c r="P1501" s="3">
        <f t="shared" si="0"/>
        <v>0</v>
      </c>
      <c r="Q1501" s="3">
        <f t="shared" si="1"/>
        <v>92</v>
      </c>
      <c r="R1501" s="3">
        <f t="shared" si="2"/>
        <v>0</v>
      </c>
      <c r="S1501" s="11"/>
    </row>
    <row r="1502" ht="15.75" customHeight="1" spans="1:21">
      <c r="A1502" s="3" t="s">
        <v>47</v>
      </c>
      <c r="B1502" s="3">
        <v>1504</v>
      </c>
      <c r="C1502" s="3">
        <v>9859</v>
      </c>
      <c r="D1502" s="3">
        <v>0.1</v>
      </c>
      <c r="E1502" s="3" t="s">
        <v>194</v>
      </c>
      <c r="F1502" s="3" t="s">
        <v>195</v>
      </c>
      <c r="G1502" s="3" t="s">
        <v>196</v>
      </c>
      <c r="H1502" s="4" t="s">
        <v>25</v>
      </c>
      <c r="I1502" s="3" t="s">
        <v>26</v>
      </c>
      <c r="J1502" s="3">
        <v>1</v>
      </c>
      <c r="K1502" s="3">
        <v>25</v>
      </c>
      <c r="L1502" s="3">
        <v>0</v>
      </c>
      <c r="M1502" s="3">
        <v>1</v>
      </c>
      <c r="N1502" s="3">
        <v>0</v>
      </c>
      <c r="O1502" s="3">
        <v>24</v>
      </c>
      <c r="P1502" s="3">
        <f t="shared" si="0"/>
        <v>0</v>
      </c>
      <c r="Q1502" s="3">
        <f t="shared" si="1"/>
        <v>0</v>
      </c>
      <c r="R1502" s="3">
        <f t="shared" si="2"/>
        <v>96</v>
      </c>
      <c r="S1502" s="11">
        <f>AVERAGE(Q1502:Q1505)</f>
        <v>6.22332015810277</v>
      </c>
      <c r="T1502" s="7">
        <f>AVERAGE(R1502:R1505)</f>
        <v>86.6403162055336</v>
      </c>
      <c r="U1502" s="8">
        <f>(L1502+L1503+L1504+L1505+O1502+O1503+O1504+O1505)/(K1502+K1503+K1504+K1505)*100</f>
        <v>88</v>
      </c>
    </row>
    <row r="1503" ht="15.75" customHeight="1" spans="1:19">
      <c r="A1503" s="3" t="s">
        <v>47</v>
      </c>
      <c r="B1503" s="3">
        <v>1504</v>
      </c>
      <c r="C1503" s="3">
        <v>9859</v>
      </c>
      <c r="D1503" s="3">
        <v>0.1</v>
      </c>
      <c r="E1503" s="3" t="s">
        <v>194</v>
      </c>
      <c r="F1503" s="3" t="s">
        <v>195</v>
      </c>
      <c r="G1503" s="3" t="s">
        <v>196</v>
      </c>
      <c r="H1503" s="4" t="s">
        <v>25</v>
      </c>
      <c r="I1503" s="3" t="s">
        <v>26</v>
      </c>
      <c r="J1503" s="3">
        <v>2</v>
      </c>
      <c r="K1503" s="3">
        <v>25</v>
      </c>
      <c r="L1503" s="3">
        <v>1</v>
      </c>
      <c r="M1503" s="3">
        <v>1</v>
      </c>
      <c r="N1503" s="3">
        <v>3</v>
      </c>
      <c r="O1503" s="3">
        <v>20</v>
      </c>
      <c r="P1503" s="3">
        <f t="shared" si="0"/>
        <v>0</v>
      </c>
      <c r="Q1503" s="3">
        <f t="shared" si="1"/>
        <v>4.54545454545455</v>
      </c>
      <c r="R1503" s="3">
        <f t="shared" si="2"/>
        <v>90.9090909090909</v>
      </c>
      <c r="S1503" s="11"/>
    </row>
    <row r="1504" ht="15.75" customHeight="1" spans="1:19">
      <c r="A1504" s="3" t="s">
        <v>47</v>
      </c>
      <c r="B1504" s="3">
        <v>1504</v>
      </c>
      <c r="C1504" s="3">
        <v>9859</v>
      </c>
      <c r="D1504" s="3">
        <v>0.1</v>
      </c>
      <c r="E1504" s="3" t="s">
        <v>194</v>
      </c>
      <c r="F1504" s="3" t="s">
        <v>195</v>
      </c>
      <c r="G1504" s="3" t="s">
        <v>196</v>
      </c>
      <c r="H1504" s="4" t="s">
        <v>25</v>
      </c>
      <c r="I1504" s="3" t="s">
        <v>26</v>
      </c>
      <c r="J1504" s="3">
        <v>3</v>
      </c>
      <c r="K1504" s="3">
        <v>25</v>
      </c>
      <c r="L1504" s="3">
        <v>1</v>
      </c>
      <c r="M1504" s="3">
        <v>0</v>
      </c>
      <c r="N1504" s="3">
        <v>2</v>
      </c>
      <c r="O1504" s="3">
        <v>22</v>
      </c>
      <c r="P1504" s="3">
        <f t="shared" si="0"/>
        <v>0</v>
      </c>
      <c r="Q1504" s="3">
        <f t="shared" si="1"/>
        <v>4.34782608695652</v>
      </c>
      <c r="R1504" s="3">
        <f t="shared" si="2"/>
        <v>95.6521739130435</v>
      </c>
      <c r="S1504" s="11"/>
    </row>
    <row r="1505" ht="15.75" customHeight="1" spans="1:19">
      <c r="A1505" s="3" t="s">
        <v>47</v>
      </c>
      <c r="B1505" s="3">
        <v>1504</v>
      </c>
      <c r="C1505" s="3">
        <v>9859</v>
      </c>
      <c r="D1505" s="3">
        <v>0.1</v>
      </c>
      <c r="E1505" s="3" t="s">
        <v>194</v>
      </c>
      <c r="F1505" s="3" t="s">
        <v>195</v>
      </c>
      <c r="G1505" s="3" t="s">
        <v>196</v>
      </c>
      <c r="H1505" s="4" t="s">
        <v>25</v>
      </c>
      <c r="I1505" s="3" t="s">
        <v>26</v>
      </c>
      <c r="J1505" s="3">
        <v>4</v>
      </c>
      <c r="K1505" s="3">
        <v>25</v>
      </c>
      <c r="L1505" s="3">
        <v>4</v>
      </c>
      <c r="M1505" s="3">
        <v>5</v>
      </c>
      <c r="N1505" s="3">
        <v>0</v>
      </c>
      <c r="O1505" s="3">
        <v>16</v>
      </c>
      <c r="P1505" s="3">
        <f t="shared" si="0"/>
        <v>0</v>
      </c>
      <c r="Q1505" s="3">
        <f t="shared" si="1"/>
        <v>16</v>
      </c>
      <c r="R1505" s="3">
        <f t="shared" si="2"/>
        <v>64</v>
      </c>
      <c r="S1505" s="11"/>
    </row>
    <row r="1506" ht="15.75" customHeight="1" spans="1:21">
      <c r="A1506" s="3" t="s">
        <v>36</v>
      </c>
      <c r="B1506" s="3">
        <v>1294</v>
      </c>
      <c r="C1506" s="3">
        <v>8842</v>
      </c>
      <c r="D1506" s="3">
        <v>0.1</v>
      </c>
      <c r="E1506" s="3" t="s">
        <v>194</v>
      </c>
      <c r="F1506" s="3" t="s">
        <v>204</v>
      </c>
      <c r="G1506" s="3" t="s">
        <v>196</v>
      </c>
      <c r="H1506" s="4" t="s">
        <v>25</v>
      </c>
      <c r="I1506" s="3" t="s">
        <v>26</v>
      </c>
      <c r="J1506" s="3">
        <v>1</v>
      </c>
      <c r="K1506" s="3">
        <v>25</v>
      </c>
      <c r="L1506" s="3">
        <v>5</v>
      </c>
      <c r="M1506" s="3">
        <v>0</v>
      </c>
      <c r="N1506" s="3">
        <v>20</v>
      </c>
      <c r="O1506" s="3">
        <v>0</v>
      </c>
      <c r="P1506" s="3">
        <f t="shared" si="0"/>
        <v>0</v>
      </c>
      <c r="Q1506" s="3">
        <f t="shared" si="1"/>
        <v>100</v>
      </c>
      <c r="R1506" s="3">
        <f t="shared" si="2"/>
        <v>0</v>
      </c>
      <c r="S1506" s="11">
        <f>AVERAGE(Q1506:Q1509)</f>
        <v>68.75</v>
      </c>
      <c r="T1506" s="7">
        <f>AVERAGE(R1506:R1509)</f>
        <v>0</v>
      </c>
      <c r="U1506" s="8">
        <f>(L1506+L1507+L1508+L1509+O1506+O1507+O1508+O1509)/(K1506+K1507+K1508+K1509)*100</f>
        <v>19</v>
      </c>
    </row>
    <row r="1507" ht="15.75" customHeight="1" spans="1:19">
      <c r="A1507" s="3" t="s">
        <v>36</v>
      </c>
      <c r="B1507" s="3">
        <v>1294</v>
      </c>
      <c r="C1507" s="3">
        <v>8842</v>
      </c>
      <c r="D1507" s="3">
        <v>0.1</v>
      </c>
      <c r="E1507" s="3" t="s">
        <v>194</v>
      </c>
      <c r="F1507" s="3" t="s">
        <v>204</v>
      </c>
      <c r="G1507" s="3" t="s">
        <v>196</v>
      </c>
      <c r="H1507" s="4" t="s">
        <v>25</v>
      </c>
      <c r="I1507" s="3" t="s">
        <v>26</v>
      </c>
      <c r="J1507" s="3">
        <v>2</v>
      </c>
      <c r="K1507" s="3">
        <v>25</v>
      </c>
      <c r="L1507" s="3">
        <v>6</v>
      </c>
      <c r="M1507" s="3">
        <v>2</v>
      </c>
      <c r="N1507" s="3">
        <v>17</v>
      </c>
      <c r="O1507" s="3">
        <v>0</v>
      </c>
      <c r="P1507" s="3">
        <f t="shared" si="0"/>
        <v>0</v>
      </c>
      <c r="Q1507" s="3">
        <f t="shared" si="1"/>
        <v>75</v>
      </c>
      <c r="R1507" s="3">
        <f t="shared" si="2"/>
        <v>0</v>
      </c>
      <c r="S1507" s="11"/>
    </row>
    <row r="1508" ht="15.75" customHeight="1" spans="1:19">
      <c r="A1508" s="3" t="s">
        <v>36</v>
      </c>
      <c r="B1508" s="3">
        <v>1294</v>
      </c>
      <c r="C1508" s="3">
        <v>8842</v>
      </c>
      <c r="D1508" s="3">
        <v>0.1</v>
      </c>
      <c r="E1508" s="3" t="s">
        <v>194</v>
      </c>
      <c r="F1508" s="3" t="s">
        <v>204</v>
      </c>
      <c r="G1508" s="3" t="s">
        <v>196</v>
      </c>
      <c r="H1508" s="4" t="s">
        <v>25</v>
      </c>
      <c r="I1508" s="3" t="s">
        <v>26</v>
      </c>
      <c r="J1508" s="3">
        <v>3</v>
      </c>
      <c r="K1508" s="3">
        <v>25</v>
      </c>
      <c r="L1508" s="3">
        <v>5</v>
      </c>
      <c r="M1508" s="3">
        <v>5</v>
      </c>
      <c r="N1508" s="3">
        <v>15</v>
      </c>
      <c r="O1508" s="3">
        <v>0</v>
      </c>
      <c r="P1508" s="3">
        <f t="shared" si="0"/>
        <v>0</v>
      </c>
      <c r="Q1508" s="3">
        <f t="shared" si="1"/>
        <v>50</v>
      </c>
      <c r="R1508" s="3">
        <f t="shared" si="2"/>
        <v>0</v>
      </c>
      <c r="S1508" s="11"/>
    </row>
    <row r="1509" ht="15.75" customHeight="1" spans="1:19">
      <c r="A1509" s="3" t="s">
        <v>36</v>
      </c>
      <c r="B1509" s="3">
        <v>1294</v>
      </c>
      <c r="C1509" s="3">
        <v>8842</v>
      </c>
      <c r="D1509" s="3">
        <v>0.1</v>
      </c>
      <c r="E1509" s="3" t="s">
        <v>194</v>
      </c>
      <c r="F1509" s="3" t="s">
        <v>204</v>
      </c>
      <c r="G1509" s="3" t="s">
        <v>196</v>
      </c>
      <c r="H1509" s="4" t="s">
        <v>25</v>
      </c>
      <c r="I1509" s="3" t="s">
        <v>26</v>
      </c>
      <c r="J1509" s="3">
        <v>4</v>
      </c>
      <c r="K1509" s="3">
        <v>25</v>
      </c>
      <c r="L1509" s="3">
        <v>3</v>
      </c>
      <c r="M1509" s="3">
        <v>3</v>
      </c>
      <c r="N1509" s="3">
        <v>19</v>
      </c>
      <c r="O1509" s="3">
        <v>0</v>
      </c>
      <c r="P1509" s="3">
        <f t="shared" si="0"/>
        <v>0</v>
      </c>
      <c r="Q1509" s="3">
        <f t="shared" si="1"/>
        <v>50</v>
      </c>
      <c r="R1509" s="3">
        <f t="shared" si="2"/>
        <v>0</v>
      </c>
      <c r="S1509" s="11"/>
    </row>
    <row r="1510" ht="15.75" customHeight="1" spans="1:21">
      <c r="A1510" s="3" t="s">
        <v>42</v>
      </c>
      <c r="B1510" s="3">
        <v>1441</v>
      </c>
      <c r="C1510" s="3">
        <v>9420</v>
      </c>
      <c r="D1510" s="3">
        <v>0.1</v>
      </c>
      <c r="E1510" s="3" t="s">
        <v>197</v>
      </c>
      <c r="F1510" s="3" t="s">
        <v>204</v>
      </c>
      <c r="G1510" s="3" t="s">
        <v>198</v>
      </c>
      <c r="H1510" s="4" t="s">
        <v>25</v>
      </c>
      <c r="I1510" s="3" t="s">
        <v>26</v>
      </c>
      <c r="J1510" s="3">
        <v>1</v>
      </c>
      <c r="K1510" s="3">
        <v>25</v>
      </c>
      <c r="L1510" s="3">
        <v>23</v>
      </c>
      <c r="M1510" s="3">
        <v>0</v>
      </c>
      <c r="N1510" s="3">
        <v>0</v>
      </c>
      <c r="O1510" s="3">
        <v>2</v>
      </c>
      <c r="P1510" s="3">
        <f t="shared" si="0"/>
        <v>0</v>
      </c>
      <c r="Q1510" s="3">
        <f t="shared" si="1"/>
        <v>92</v>
      </c>
      <c r="R1510" s="3">
        <f t="shared" si="2"/>
        <v>8</v>
      </c>
      <c r="S1510" s="11">
        <f>AVERAGE(Q1510:Q1513)</f>
        <v>94.780303030303</v>
      </c>
      <c r="T1510" s="7">
        <f>AVERAGE(R1510:R1513)</f>
        <v>5.21969696969697</v>
      </c>
      <c r="U1510" s="8">
        <f>(L1510+L1511+L1512+L1513+O1510+O1511+O1512+O1513)/(K1510+K1511+K1512+K1513)*100</f>
        <v>93</v>
      </c>
    </row>
    <row r="1511" ht="15.75" customHeight="1" spans="1:19">
      <c r="A1511" s="3" t="s">
        <v>42</v>
      </c>
      <c r="B1511" s="3">
        <v>1441</v>
      </c>
      <c r="C1511" s="3">
        <v>9420</v>
      </c>
      <c r="D1511" s="3">
        <v>0.1</v>
      </c>
      <c r="E1511" s="3" t="s">
        <v>197</v>
      </c>
      <c r="F1511" s="3" t="s">
        <v>204</v>
      </c>
      <c r="G1511" s="3" t="s">
        <v>198</v>
      </c>
      <c r="H1511" s="4" t="s">
        <v>25</v>
      </c>
      <c r="I1511" s="3" t="s">
        <v>26</v>
      </c>
      <c r="J1511" s="3">
        <v>2</v>
      </c>
      <c r="K1511" s="3">
        <v>25</v>
      </c>
      <c r="L1511" s="3">
        <v>21</v>
      </c>
      <c r="M1511" s="3">
        <v>0</v>
      </c>
      <c r="N1511" s="3">
        <v>3</v>
      </c>
      <c r="O1511" s="3">
        <v>1</v>
      </c>
      <c r="P1511" s="3">
        <f t="shared" si="0"/>
        <v>0</v>
      </c>
      <c r="Q1511" s="3">
        <f t="shared" si="1"/>
        <v>95.4545454545455</v>
      </c>
      <c r="R1511" s="3">
        <f t="shared" si="2"/>
        <v>4.54545454545455</v>
      </c>
      <c r="S1511" s="11"/>
    </row>
    <row r="1512" ht="15.75" customHeight="1" spans="1:19">
      <c r="A1512" s="3" t="s">
        <v>42</v>
      </c>
      <c r="B1512" s="3">
        <v>1441</v>
      </c>
      <c r="C1512" s="3">
        <v>9420</v>
      </c>
      <c r="D1512" s="3">
        <v>0.1</v>
      </c>
      <c r="E1512" s="3" t="s">
        <v>197</v>
      </c>
      <c r="F1512" s="3" t="s">
        <v>204</v>
      </c>
      <c r="G1512" s="3" t="s">
        <v>198</v>
      </c>
      <c r="H1512" s="4" t="s">
        <v>25</v>
      </c>
      <c r="I1512" s="3" t="s">
        <v>26</v>
      </c>
      <c r="J1512" s="3">
        <v>3</v>
      </c>
      <c r="K1512" s="3">
        <v>25</v>
      </c>
      <c r="L1512" s="3">
        <v>22</v>
      </c>
      <c r="M1512" s="3">
        <v>0</v>
      </c>
      <c r="N1512" s="3">
        <v>1</v>
      </c>
      <c r="O1512" s="3">
        <v>2</v>
      </c>
      <c r="P1512" s="3">
        <f t="shared" si="0"/>
        <v>0</v>
      </c>
      <c r="Q1512" s="3">
        <f t="shared" si="1"/>
        <v>91.6666666666667</v>
      </c>
      <c r="R1512" s="3">
        <f t="shared" si="2"/>
        <v>8.33333333333333</v>
      </c>
      <c r="S1512" s="11"/>
    </row>
    <row r="1513" ht="15.75" customHeight="1" spans="1:19">
      <c r="A1513" s="3" t="s">
        <v>42</v>
      </c>
      <c r="B1513" s="3">
        <v>1441</v>
      </c>
      <c r="C1513" s="3">
        <v>9420</v>
      </c>
      <c r="D1513" s="3">
        <v>0.1</v>
      </c>
      <c r="E1513" s="3" t="s">
        <v>197</v>
      </c>
      <c r="F1513" s="3" t="s">
        <v>204</v>
      </c>
      <c r="G1513" s="3" t="s">
        <v>198</v>
      </c>
      <c r="H1513" s="4" t="s">
        <v>25</v>
      </c>
      <c r="I1513" s="3" t="s">
        <v>26</v>
      </c>
      <c r="J1513" s="3">
        <v>4</v>
      </c>
      <c r="K1513" s="3">
        <v>25</v>
      </c>
      <c r="L1513" s="3">
        <v>22</v>
      </c>
      <c r="M1513" s="3">
        <v>0</v>
      </c>
      <c r="N1513" s="3">
        <v>3</v>
      </c>
      <c r="O1513" s="3">
        <v>0</v>
      </c>
      <c r="P1513" s="3">
        <f t="shared" si="0"/>
        <v>0</v>
      </c>
      <c r="Q1513" s="3">
        <f t="shared" si="1"/>
        <v>100</v>
      </c>
      <c r="R1513" s="3">
        <f t="shared" si="2"/>
        <v>0</v>
      </c>
      <c r="S1513" s="11"/>
    </row>
    <row r="1514" ht="15.75" customHeight="1" spans="1:21">
      <c r="A1514" s="3" t="s">
        <v>117</v>
      </c>
      <c r="B1514" s="3">
        <v>1001</v>
      </c>
      <c r="C1514" s="3">
        <v>4887</v>
      </c>
      <c r="D1514" s="3">
        <v>2</v>
      </c>
      <c r="E1514" s="3" t="s">
        <v>144</v>
      </c>
      <c r="F1514" s="3" t="s">
        <v>205</v>
      </c>
      <c r="G1514" s="3" t="s">
        <v>206</v>
      </c>
      <c r="H1514" s="4" t="s">
        <v>147</v>
      </c>
      <c r="I1514" s="3" t="s">
        <v>26</v>
      </c>
      <c r="J1514" s="3">
        <v>1</v>
      </c>
      <c r="K1514" s="3">
        <v>25</v>
      </c>
      <c r="L1514" s="3">
        <v>13</v>
      </c>
      <c r="M1514" s="3">
        <v>8</v>
      </c>
      <c r="N1514" s="3">
        <v>0</v>
      </c>
      <c r="O1514" s="3">
        <v>4</v>
      </c>
      <c r="P1514" s="3">
        <f t="shared" si="0"/>
        <v>0</v>
      </c>
      <c r="Q1514" s="3">
        <f t="shared" si="1"/>
        <v>52</v>
      </c>
      <c r="R1514" s="3">
        <f t="shared" si="2"/>
        <v>16</v>
      </c>
      <c r="S1514" s="11">
        <f>AVERAGE(Q1514:Q1517)</f>
        <v>50</v>
      </c>
      <c r="T1514" s="7">
        <f>AVERAGE(R1514:R1517)</f>
        <v>22</v>
      </c>
      <c r="U1514" s="8">
        <f>(L1514+L1515+L1516+L1517+O1514+O1515+O1516+O1517)/(K1514+K1515+K1516+K1517)*100</f>
        <v>72</v>
      </c>
    </row>
    <row r="1515" ht="15.75" customHeight="1" spans="1:19">
      <c r="A1515" s="3" t="s">
        <v>117</v>
      </c>
      <c r="B1515" s="3">
        <v>1001</v>
      </c>
      <c r="C1515" s="3">
        <v>4887</v>
      </c>
      <c r="D1515" s="3">
        <v>2</v>
      </c>
      <c r="E1515" s="3" t="s">
        <v>144</v>
      </c>
      <c r="F1515" s="3" t="s">
        <v>205</v>
      </c>
      <c r="G1515" s="3" t="s">
        <v>206</v>
      </c>
      <c r="H1515" s="4" t="s">
        <v>147</v>
      </c>
      <c r="I1515" s="3" t="s">
        <v>26</v>
      </c>
      <c r="J1515" s="3">
        <v>2</v>
      </c>
      <c r="K1515" s="3">
        <v>25</v>
      </c>
      <c r="L1515" s="3">
        <v>10</v>
      </c>
      <c r="M1515" s="3">
        <v>6</v>
      </c>
      <c r="N1515" s="3">
        <v>0</v>
      </c>
      <c r="O1515" s="3">
        <v>9</v>
      </c>
      <c r="P1515" s="3">
        <f t="shared" si="0"/>
        <v>0</v>
      </c>
      <c r="Q1515" s="3">
        <f t="shared" si="1"/>
        <v>40</v>
      </c>
      <c r="R1515" s="3">
        <f t="shared" si="2"/>
        <v>36</v>
      </c>
      <c r="S1515" s="11"/>
    </row>
    <row r="1516" ht="15.75" customHeight="1" spans="1:19">
      <c r="A1516" s="3" t="s">
        <v>117</v>
      </c>
      <c r="B1516" s="3">
        <v>1001</v>
      </c>
      <c r="C1516" s="3">
        <v>4887</v>
      </c>
      <c r="D1516" s="3">
        <v>2</v>
      </c>
      <c r="E1516" s="3" t="s">
        <v>144</v>
      </c>
      <c r="F1516" s="3" t="s">
        <v>205</v>
      </c>
      <c r="G1516" s="3" t="s">
        <v>206</v>
      </c>
      <c r="H1516" s="4" t="s">
        <v>147</v>
      </c>
      <c r="I1516" s="3" t="s">
        <v>26</v>
      </c>
      <c r="J1516" s="3">
        <v>3</v>
      </c>
      <c r="K1516" s="3">
        <v>25</v>
      </c>
      <c r="L1516" s="3">
        <v>11</v>
      </c>
      <c r="M1516" s="3">
        <v>8</v>
      </c>
      <c r="N1516" s="3">
        <v>0</v>
      </c>
      <c r="O1516" s="3">
        <v>6</v>
      </c>
      <c r="P1516" s="3">
        <f t="shared" si="0"/>
        <v>0</v>
      </c>
      <c r="Q1516" s="3">
        <f t="shared" si="1"/>
        <v>44</v>
      </c>
      <c r="R1516" s="3">
        <f t="shared" si="2"/>
        <v>24</v>
      </c>
      <c r="S1516" s="11"/>
    </row>
    <row r="1517" ht="15.75" customHeight="1" spans="1:19">
      <c r="A1517" s="3" t="s">
        <v>117</v>
      </c>
      <c r="B1517" s="3">
        <v>1001</v>
      </c>
      <c r="C1517" s="3">
        <v>4887</v>
      </c>
      <c r="D1517" s="3">
        <v>2</v>
      </c>
      <c r="E1517" s="3" t="s">
        <v>144</v>
      </c>
      <c r="F1517" s="3" t="s">
        <v>205</v>
      </c>
      <c r="G1517" s="3" t="s">
        <v>206</v>
      </c>
      <c r="H1517" s="4" t="s">
        <v>147</v>
      </c>
      <c r="I1517" s="3" t="s">
        <v>26</v>
      </c>
      <c r="J1517" s="3">
        <v>4</v>
      </c>
      <c r="K1517" s="3">
        <v>25</v>
      </c>
      <c r="L1517" s="3">
        <v>16</v>
      </c>
      <c r="M1517" s="3">
        <v>6</v>
      </c>
      <c r="N1517" s="3">
        <v>0</v>
      </c>
      <c r="O1517" s="3">
        <v>3</v>
      </c>
      <c r="P1517" s="3">
        <f t="shared" si="0"/>
        <v>0</v>
      </c>
      <c r="Q1517" s="3">
        <f t="shared" si="1"/>
        <v>64</v>
      </c>
      <c r="R1517" s="3">
        <f t="shared" si="2"/>
        <v>12</v>
      </c>
      <c r="S1517" s="11"/>
    </row>
    <row r="1518" ht="15.75" customHeight="1" spans="1:21">
      <c r="A1518" s="3" t="s">
        <v>47</v>
      </c>
      <c r="B1518" s="3">
        <v>1504</v>
      </c>
      <c r="C1518" s="3">
        <v>9859</v>
      </c>
      <c r="D1518" s="3">
        <v>0.1</v>
      </c>
      <c r="E1518" s="3" t="s">
        <v>194</v>
      </c>
      <c r="F1518" s="3" t="s">
        <v>204</v>
      </c>
      <c r="G1518" s="3" t="s">
        <v>196</v>
      </c>
      <c r="H1518" s="4" t="s">
        <v>25</v>
      </c>
      <c r="I1518" s="3" t="s">
        <v>26</v>
      </c>
      <c r="J1518" s="3">
        <v>1</v>
      </c>
      <c r="K1518" s="3">
        <v>25</v>
      </c>
      <c r="L1518" s="3">
        <v>24</v>
      </c>
      <c r="M1518" s="3">
        <v>0</v>
      </c>
      <c r="N1518" s="3">
        <v>1</v>
      </c>
      <c r="O1518" s="3">
        <v>0</v>
      </c>
      <c r="P1518" s="3">
        <f t="shared" si="0"/>
        <v>0</v>
      </c>
      <c r="Q1518" s="3">
        <f t="shared" si="1"/>
        <v>100</v>
      </c>
      <c r="R1518" s="3">
        <f t="shared" si="2"/>
        <v>0</v>
      </c>
      <c r="S1518" s="11">
        <f>AVERAGE(Q1518:Q1521)</f>
        <v>97.9583333333333</v>
      </c>
      <c r="T1518" s="7">
        <f>AVERAGE(R1518:R1521)</f>
        <v>0</v>
      </c>
      <c r="U1518" s="8">
        <f>(L1518+L1519+L1520+L1521+O1518+O1519+O1520+O1521)/(K1518+K1519+K1520+K1521)*100</f>
        <v>94</v>
      </c>
    </row>
    <row r="1519" ht="15.75" customHeight="1" spans="1:19">
      <c r="A1519" s="3" t="s">
        <v>47</v>
      </c>
      <c r="B1519" s="3">
        <v>1504</v>
      </c>
      <c r="C1519" s="3">
        <v>9859</v>
      </c>
      <c r="D1519" s="3">
        <v>0.1</v>
      </c>
      <c r="E1519" s="3" t="s">
        <v>194</v>
      </c>
      <c r="F1519" s="3" t="s">
        <v>204</v>
      </c>
      <c r="G1519" s="3" t="s">
        <v>196</v>
      </c>
      <c r="H1519" s="4" t="s">
        <v>25</v>
      </c>
      <c r="I1519" s="3" t="s">
        <v>26</v>
      </c>
      <c r="J1519" s="3">
        <v>2</v>
      </c>
      <c r="K1519" s="3">
        <v>25</v>
      </c>
      <c r="L1519" s="3">
        <v>23</v>
      </c>
      <c r="M1519" s="3">
        <v>1</v>
      </c>
      <c r="N1519" s="3">
        <v>1</v>
      </c>
      <c r="O1519" s="3">
        <v>0</v>
      </c>
      <c r="P1519" s="3">
        <f t="shared" si="0"/>
        <v>0</v>
      </c>
      <c r="Q1519" s="3">
        <f t="shared" si="1"/>
        <v>95.8333333333333</v>
      </c>
      <c r="R1519" s="3">
        <f t="shared" si="2"/>
        <v>0</v>
      </c>
      <c r="S1519" s="11"/>
    </row>
    <row r="1520" ht="15.75" customHeight="1" spans="1:19">
      <c r="A1520" s="3" t="s">
        <v>47</v>
      </c>
      <c r="B1520" s="3">
        <v>1504</v>
      </c>
      <c r="C1520" s="3">
        <v>9859</v>
      </c>
      <c r="D1520" s="3">
        <v>0.1</v>
      </c>
      <c r="E1520" s="3" t="s">
        <v>194</v>
      </c>
      <c r="F1520" s="3" t="s">
        <v>204</v>
      </c>
      <c r="G1520" s="3" t="s">
        <v>196</v>
      </c>
      <c r="H1520" s="4" t="s">
        <v>25</v>
      </c>
      <c r="I1520" s="3" t="s">
        <v>26</v>
      </c>
      <c r="J1520" s="3">
        <v>3</v>
      </c>
      <c r="K1520" s="3">
        <v>25</v>
      </c>
      <c r="L1520" s="3">
        <v>23</v>
      </c>
      <c r="M1520" s="3">
        <v>0</v>
      </c>
      <c r="N1520" s="3">
        <v>2</v>
      </c>
      <c r="O1520" s="3">
        <v>0</v>
      </c>
      <c r="P1520" s="3">
        <f t="shared" si="0"/>
        <v>0</v>
      </c>
      <c r="Q1520" s="3">
        <f t="shared" si="1"/>
        <v>100</v>
      </c>
      <c r="R1520" s="3">
        <f t="shared" si="2"/>
        <v>0</v>
      </c>
      <c r="S1520" s="11"/>
    </row>
    <row r="1521" ht="15.75" customHeight="1" spans="1:19">
      <c r="A1521" s="3" t="s">
        <v>47</v>
      </c>
      <c r="B1521" s="3">
        <v>1504</v>
      </c>
      <c r="C1521" s="3">
        <v>9859</v>
      </c>
      <c r="D1521" s="3">
        <v>0.1</v>
      </c>
      <c r="E1521" s="3" t="s">
        <v>194</v>
      </c>
      <c r="F1521" s="3" t="s">
        <v>204</v>
      </c>
      <c r="G1521" s="3" t="s">
        <v>196</v>
      </c>
      <c r="H1521" s="4" t="s">
        <v>25</v>
      </c>
      <c r="I1521" s="3" t="s">
        <v>26</v>
      </c>
      <c r="J1521" s="3">
        <v>4</v>
      </c>
      <c r="K1521" s="3">
        <v>25</v>
      </c>
      <c r="L1521" s="3">
        <v>24</v>
      </c>
      <c r="M1521" s="3">
        <v>1</v>
      </c>
      <c r="N1521" s="3">
        <v>0</v>
      </c>
      <c r="O1521" s="3">
        <v>0</v>
      </c>
      <c r="P1521" s="3">
        <f t="shared" si="0"/>
        <v>0</v>
      </c>
      <c r="Q1521" s="3">
        <f t="shared" si="1"/>
        <v>96</v>
      </c>
      <c r="R1521" s="3">
        <f t="shared" si="2"/>
        <v>0</v>
      </c>
      <c r="S1521" s="11"/>
    </row>
    <row r="1522" ht="15.75" customHeight="1" spans="1:21">
      <c r="A1522" s="3" t="s">
        <v>32</v>
      </c>
      <c r="B1522" s="3">
        <v>1342</v>
      </c>
      <c r="C1522" s="3">
        <v>9074</v>
      </c>
      <c r="D1522" s="3">
        <v>0.1</v>
      </c>
      <c r="E1522" s="3" t="s">
        <v>191</v>
      </c>
      <c r="F1522" s="3" t="s">
        <v>203</v>
      </c>
      <c r="G1522" s="3" t="s">
        <v>193</v>
      </c>
      <c r="H1522" s="4" t="s">
        <v>40</v>
      </c>
      <c r="I1522" s="3" t="s">
        <v>26</v>
      </c>
      <c r="J1522" s="3">
        <v>1</v>
      </c>
      <c r="K1522" s="3">
        <v>25</v>
      </c>
      <c r="L1522" s="3">
        <v>0</v>
      </c>
      <c r="M1522" s="3">
        <v>0</v>
      </c>
      <c r="N1522" s="3">
        <v>0</v>
      </c>
      <c r="O1522" s="3">
        <v>25</v>
      </c>
      <c r="P1522" s="3">
        <f t="shared" si="0"/>
        <v>0</v>
      </c>
      <c r="Q1522" s="3">
        <f t="shared" si="1"/>
        <v>0</v>
      </c>
      <c r="R1522" s="3">
        <f t="shared" si="2"/>
        <v>100</v>
      </c>
      <c r="S1522" s="11">
        <f>AVERAGE(Q1522:Q1525)</f>
        <v>5</v>
      </c>
      <c r="T1522" s="7">
        <f>AVERAGE(R1522:R1525)</f>
        <v>95</v>
      </c>
      <c r="U1522" s="8">
        <f>(L1522+L1523+L1524+L1525+O1522+O1523+O1524+O1525)/(K1522+K1523+K1524+K1525)*100</f>
        <v>100</v>
      </c>
    </row>
    <row r="1523" ht="15.75" customHeight="1" spans="1:19">
      <c r="A1523" s="3" t="s">
        <v>32</v>
      </c>
      <c r="B1523" s="3">
        <v>1342</v>
      </c>
      <c r="C1523" s="3">
        <v>9074</v>
      </c>
      <c r="D1523" s="3">
        <v>0.1</v>
      </c>
      <c r="E1523" s="3" t="s">
        <v>191</v>
      </c>
      <c r="F1523" s="3" t="s">
        <v>203</v>
      </c>
      <c r="G1523" s="3" t="s">
        <v>193</v>
      </c>
      <c r="H1523" s="4" t="s">
        <v>40</v>
      </c>
      <c r="I1523" s="3" t="s">
        <v>26</v>
      </c>
      <c r="J1523" s="3">
        <v>2</v>
      </c>
      <c r="K1523" s="3">
        <v>25</v>
      </c>
      <c r="L1523" s="3">
        <v>2</v>
      </c>
      <c r="M1523" s="3">
        <v>0</v>
      </c>
      <c r="N1523" s="3">
        <v>0</v>
      </c>
      <c r="O1523" s="3">
        <v>23</v>
      </c>
      <c r="P1523" s="3">
        <f t="shared" si="0"/>
        <v>0</v>
      </c>
      <c r="Q1523" s="3">
        <f t="shared" si="1"/>
        <v>8</v>
      </c>
      <c r="R1523" s="3">
        <f t="shared" si="2"/>
        <v>92</v>
      </c>
      <c r="S1523" s="11"/>
    </row>
    <row r="1524" ht="15.75" customHeight="1" spans="1:19">
      <c r="A1524" s="3" t="s">
        <v>32</v>
      </c>
      <c r="B1524" s="3">
        <v>1342</v>
      </c>
      <c r="C1524" s="3">
        <v>9074</v>
      </c>
      <c r="D1524" s="3">
        <v>0.1</v>
      </c>
      <c r="E1524" s="3" t="s">
        <v>191</v>
      </c>
      <c r="F1524" s="3" t="s">
        <v>203</v>
      </c>
      <c r="G1524" s="3" t="s">
        <v>193</v>
      </c>
      <c r="H1524" s="4" t="s">
        <v>40</v>
      </c>
      <c r="I1524" s="3" t="s">
        <v>26</v>
      </c>
      <c r="J1524" s="3">
        <v>3</v>
      </c>
      <c r="K1524" s="3">
        <v>25</v>
      </c>
      <c r="L1524" s="3">
        <v>1</v>
      </c>
      <c r="M1524" s="3">
        <v>0</v>
      </c>
      <c r="N1524" s="3">
        <v>0</v>
      </c>
      <c r="O1524" s="3">
        <v>24</v>
      </c>
      <c r="P1524" s="3">
        <f t="shared" si="0"/>
        <v>0</v>
      </c>
      <c r="Q1524" s="3">
        <f t="shared" si="1"/>
        <v>4</v>
      </c>
      <c r="R1524" s="3">
        <f t="shared" si="2"/>
        <v>96</v>
      </c>
      <c r="S1524" s="11"/>
    </row>
    <row r="1525" ht="15.75" customHeight="1" spans="1:19">
      <c r="A1525" s="3" t="s">
        <v>32</v>
      </c>
      <c r="B1525" s="3">
        <v>1342</v>
      </c>
      <c r="C1525" s="3">
        <v>9074</v>
      </c>
      <c r="D1525" s="3">
        <v>0.1</v>
      </c>
      <c r="E1525" s="3" t="s">
        <v>191</v>
      </c>
      <c r="F1525" s="3" t="s">
        <v>203</v>
      </c>
      <c r="G1525" s="3" t="s">
        <v>193</v>
      </c>
      <c r="H1525" s="4" t="s">
        <v>40</v>
      </c>
      <c r="I1525" s="3" t="s">
        <v>26</v>
      </c>
      <c r="J1525" s="3">
        <v>4</v>
      </c>
      <c r="K1525" s="3">
        <v>25</v>
      </c>
      <c r="L1525" s="3">
        <v>2</v>
      </c>
      <c r="M1525" s="3">
        <v>0</v>
      </c>
      <c r="N1525" s="3">
        <v>0</v>
      </c>
      <c r="O1525" s="3">
        <v>23</v>
      </c>
      <c r="P1525" s="3">
        <f t="shared" si="0"/>
        <v>0</v>
      </c>
      <c r="Q1525" s="3">
        <f t="shared" si="1"/>
        <v>8</v>
      </c>
      <c r="R1525" s="3">
        <f t="shared" si="2"/>
        <v>92</v>
      </c>
      <c r="S1525" s="11"/>
    </row>
  </sheetData>
  <autoFilter xmlns:etc="http://www.wps.cn/officeDocument/2017/etCustomData" ref="A1:S1525" etc:filterBottomFollowUsedRange="0">
    <extLst/>
  </autoFilter>
  <pageMargins left="0.7" right="0.7" top="0.75" bottom="0.75" header="0" footer="0"/>
  <pageSetup paperSize="1"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E17" sqref="E17"/>
    </sheetView>
  </sheetViews>
  <sheetFormatPr defaultColWidth="14.4259259259259" defaultRowHeight="15" customHeight="1"/>
  <cols>
    <col min="1" max="26" width="9.13888888888889" customWidth="1"/>
  </cols>
  <sheetData>
    <row r="1" ht="13.5" customHeight="1" spans="1:26">
      <c r="A1" s="1" t="s">
        <v>32</v>
      </c>
      <c r="B1" s="2">
        <v>1342</v>
      </c>
      <c r="C1" s="2">
        <v>9074</v>
      </c>
      <c r="D1" s="1" t="s">
        <v>123</v>
      </c>
      <c r="E1" s="1" t="s">
        <v>124</v>
      </c>
      <c r="F1" s="1" t="s">
        <v>26</v>
      </c>
      <c r="G1" s="2">
        <v>1</v>
      </c>
      <c r="H1" s="2">
        <v>25</v>
      </c>
      <c r="I1" s="2">
        <v>3</v>
      </c>
      <c r="J1" s="2">
        <v>0</v>
      </c>
      <c r="K1" s="2">
        <v>22</v>
      </c>
      <c r="L1" s="2">
        <v>0</v>
      </c>
      <c r="M1" s="2">
        <f t="shared" ref="M1:M24" si="0">H1-(SUM(I1:L1))</f>
        <v>0</v>
      </c>
      <c r="N1" s="2">
        <f t="shared" ref="N1:N24" si="1">(I1/(H1-K1))*100</f>
        <v>100</v>
      </c>
      <c r="O1" s="5">
        <f t="shared" ref="O1:O24" si="2">(L1/(H1-K1))*100</f>
        <v>0</v>
      </c>
      <c r="P1" s="3" t="e">
        <f>AVERAGE(N1:N4)</f>
        <v>#DIV/0!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 spans="1:26">
      <c r="A2" s="1" t="s">
        <v>32</v>
      </c>
      <c r="B2" s="2">
        <v>1342</v>
      </c>
      <c r="C2" s="2">
        <v>9074</v>
      </c>
      <c r="D2" s="1" t="s">
        <v>123</v>
      </c>
      <c r="E2" s="1" t="s">
        <v>124</v>
      </c>
      <c r="F2" s="1" t="s">
        <v>26</v>
      </c>
      <c r="G2" s="2">
        <v>2</v>
      </c>
      <c r="H2" s="2">
        <v>25</v>
      </c>
      <c r="I2" s="2">
        <v>0</v>
      </c>
      <c r="J2" s="2">
        <v>0</v>
      </c>
      <c r="K2" s="2">
        <v>25</v>
      </c>
      <c r="L2" s="2">
        <v>0</v>
      </c>
      <c r="M2" s="2">
        <f t="shared" si="0"/>
        <v>0</v>
      </c>
      <c r="N2" s="2" t="e">
        <f t="shared" si="1"/>
        <v>#DIV/0!</v>
      </c>
      <c r="O2" s="5" t="e">
        <f t="shared" si="2"/>
        <v>#DIV/0!</v>
      </c>
      <c r="P2" s="3"/>
      <c r="Q2" s="6"/>
      <c r="R2" s="6"/>
      <c r="S2" s="6"/>
      <c r="T2" s="6"/>
      <c r="U2" s="6"/>
      <c r="V2" s="6"/>
      <c r="W2" s="6"/>
      <c r="X2" s="6"/>
      <c r="Y2" s="6"/>
      <c r="Z2" s="6"/>
    </row>
    <row r="3" ht="13.5" customHeight="1" spans="1:26">
      <c r="A3" s="1" t="s">
        <v>32</v>
      </c>
      <c r="B3" s="2">
        <v>1342</v>
      </c>
      <c r="C3" s="2">
        <v>9074</v>
      </c>
      <c r="D3" s="1" t="s">
        <v>123</v>
      </c>
      <c r="E3" s="1" t="s">
        <v>124</v>
      </c>
      <c r="F3" s="1" t="s">
        <v>26</v>
      </c>
      <c r="G3" s="2">
        <v>3</v>
      </c>
      <c r="H3" s="2">
        <v>25</v>
      </c>
      <c r="I3" s="2">
        <v>1</v>
      </c>
      <c r="J3" s="2">
        <v>0</v>
      </c>
      <c r="K3" s="2">
        <v>24</v>
      </c>
      <c r="L3" s="2">
        <v>0</v>
      </c>
      <c r="M3" s="2">
        <f t="shared" si="0"/>
        <v>0</v>
      </c>
      <c r="N3" s="2">
        <f t="shared" si="1"/>
        <v>100</v>
      </c>
      <c r="O3" s="5">
        <f t="shared" si="2"/>
        <v>0</v>
      </c>
      <c r="P3" s="3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 spans="1:26">
      <c r="A4" s="1" t="s">
        <v>32</v>
      </c>
      <c r="B4" s="2">
        <v>1342</v>
      </c>
      <c r="C4" s="2">
        <v>9074</v>
      </c>
      <c r="D4" s="1" t="s">
        <v>123</v>
      </c>
      <c r="E4" s="1" t="s">
        <v>124</v>
      </c>
      <c r="F4" s="1" t="s">
        <v>26</v>
      </c>
      <c r="G4" s="2">
        <v>4</v>
      </c>
      <c r="H4" s="2">
        <v>25</v>
      </c>
      <c r="I4" s="2">
        <v>1</v>
      </c>
      <c r="J4" s="2">
        <v>0</v>
      </c>
      <c r="K4" s="2">
        <v>24</v>
      </c>
      <c r="L4" s="2">
        <v>0</v>
      </c>
      <c r="M4" s="2">
        <f t="shared" si="0"/>
        <v>0</v>
      </c>
      <c r="N4" s="2">
        <f t="shared" si="1"/>
        <v>100</v>
      </c>
      <c r="O4" s="5">
        <f t="shared" si="2"/>
        <v>0</v>
      </c>
      <c r="P4" s="3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 spans="1:26">
      <c r="A5" s="1" t="s">
        <v>86</v>
      </c>
      <c r="B5" s="2">
        <v>1097</v>
      </c>
      <c r="C5" s="2">
        <v>6679</v>
      </c>
      <c r="D5" s="1" t="s">
        <v>110</v>
      </c>
      <c r="E5" s="1" t="s">
        <v>111</v>
      </c>
      <c r="F5" s="1" t="s">
        <v>26</v>
      </c>
      <c r="G5" s="2">
        <v>1</v>
      </c>
      <c r="H5" s="2">
        <v>25</v>
      </c>
      <c r="I5" s="2">
        <v>1</v>
      </c>
      <c r="J5" s="2">
        <v>0</v>
      </c>
      <c r="K5" s="2">
        <v>20</v>
      </c>
      <c r="L5" s="2">
        <v>4</v>
      </c>
      <c r="M5" s="2">
        <f t="shared" si="0"/>
        <v>0</v>
      </c>
      <c r="N5" s="2">
        <f t="shared" si="1"/>
        <v>20</v>
      </c>
      <c r="O5" s="5">
        <f t="shared" si="2"/>
        <v>80</v>
      </c>
      <c r="P5" s="3" t="e">
        <f>AVERAGE(N5:N8)</f>
        <v>#DIV/0!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 spans="1:26">
      <c r="A6" s="1" t="s">
        <v>86</v>
      </c>
      <c r="B6" s="2">
        <v>1097</v>
      </c>
      <c r="C6" s="2">
        <v>6679</v>
      </c>
      <c r="D6" s="1" t="s">
        <v>110</v>
      </c>
      <c r="E6" s="1" t="s">
        <v>111</v>
      </c>
      <c r="F6" s="1" t="s">
        <v>26</v>
      </c>
      <c r="G6" s="2">
        <v>2</v>
      </c>
      <c r="H6" s="2">
        <v>25</v>
      </c>
      <c r="I6" s="2">
        <v>2</v>
      </c>
      <c r="J6" s="2">
        <v>0</v>
      </c>
      <c r="K6" s="2">
        <v>23</v>
      </c>
      <c r="L6" s="2">
        <v>0</v>
      </c>
      <c r="M6" s="2">
        <f t="shared" si="0"/>
        <v>0</v>
      </c>
      <c r="N6" s="2">
        <f t="shared" si="1"/>
        <v>100</v>
      </c>
      <c r="O6" s="5">
        <f t="shared" si="2"/>
        <v>0</v>
      </c>
      <c r="P6" s="3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 spans="1:26">
      <c r="A7" s="1" t="s">
        <v>86</v>
      </c>
      <c r="B7" s="2">
        <v>1097</v>
      </c>
      <c r="C7" s="2">
        <v>6679</v>
      </c>
      <c r="D7" s="1" t="s">
        <v>110</v>
      </c>
      <c r="E7" s="1" t="s">
        <v>111</v>
      </c>
      <c r="F7" s="1" t="s">
        <v>26</v>
      </c>
      <c r="G7" s="2">
        <v>3</v>
      </c>
      <c r="H7" s="2">
        <v>25</v>
      </c>
      <c r="I7" s="2">
        <v>2</v>
      </c>
      <c r="J7" s="2">
        <v>0</v>
      </c>
      <c r="K7" s="2">
        <v>20</v>
      </c>
      <c r="L7" s="2">
        <v>3</v>
      </c>
      <c r="M7" s="2">
        <f t="shared" si="0"/>
        <v>0</v>
      </c>
      <c r="N7" s="2">
        <f t="shared" si="1"/>
        <v>40</v>
      </c>
      <c r="O7" s="5">
        <f t="shared" si="2"/>
        <v>60</v>
      </c>
      <c r="P7" s="3"/>
      <c r="Q7" s="6"/>
      <c r="R7" s="6"/>
      <c r="S7" s="6"/>
      <c r="T7" s="6"/>
      <c r="U7" s="6"/>
      <c r="V7" s="6"/>
      <c r="W7" s="6"/>
      <c r="X7" s="6"/>
      <c r="Y7" s="6"/>
      <c r="Z7" s="6"/>
    </row>
    <row r="8" ht="13.5" customHeight="1" spans="1:26">
      <c r="A8" s="1" t="s">
        <v>86</v>
      </c>
      <c r="B8" s="2">
        <v>1097</v>
      </c>
      <c r="C8" s="2">
        <v>6679</v>
      </c>
      <c r="D8" s="1" t="s">
        <v>110</v>
      </c>
      <c r="E8" s="1" t="s">
        <v>111</v>
      </c>
      <c r="F8" s="1" t="s">
        <v>26</v>
      </c>
      <c r="G8" s="2">
        <v>4</v>
      </c>
      <c r="H8" s="2">
        <v>25</v>
      </c>
      <c r="I8" s="2">
        <v>0</v>
      </c>
      <c r="J8" s="2">
        <v>0</v>
      </c>
      <c r="K8" s="2">
        <v>25</v>
      </c>
      <c r="L8" s="2">
        <v>0</v>
      </c>
      <c r="M8" s="2">
        <f t="shared" si="0"/>
        <v>0</v>
      </c>
      <c r="N8" s="2" t="e">
        <f t="shared" si="1"/>
        <v>#DIV/0!</v>
      </c>
      <c r="O8" s="5" t="e">
        <f t="shared" si="2"/>
        <v>#DIV/0!</v>
      </c>
      <c r="P8" s="3"/>
      <c r="Q8" s="6"/>
      <c r="R8" s="6"/>
      <c r="S8" s="6"/>
      <c r="T8" s="6"/>
      <c r="U8" s="6"/>
      <c r="V8" s="6"/>
      <c r="W8" s="6"/>
      <c r="X8" s="6"/>
      <c r="Y8" s="6"/>
      <c r="Z8" s="6"/>
    </row>
    <row r="9" ht="13.5" customHeight="1" spans="1:26">
      <c r="A9" s="1" t="s">
        <v>91</v>
      </c>
      <c r="B9" s="2">
        <v>1007</v>
      </c>
      <c r="C9" s="2">
        <v>4939</v>
      </c>
      <c r="D9" s="1" t="s">
        <v>108</v>
      </c>
      <c r="E9" s="1" t="s">
        <v>125</v>
      </c>
      <c r="F9" s="1" t="s">
        <v>26</v>
      </c>
      <c r="G9" s="2">
        <v>1</v>
      </c>
      <c r="H9" s="2">
        <v>25</v>
      </c>
      <c r="I9" s="2">
        <v>0</v>
      </c>
      <c r="J9" s="2">
        <v>0</v>
      </c>
      <c r="K9" s="2">
        <v>23</v>
      </c>
      <c r="L9" s="2">
        <v>2</v>
      </c>
      <c r="M9" s="2">
        <f t="shared" si="0"/>
        <v>0</v>
      </c>
      <c r="N9" s="2">
        <f t="shared" si="1"/>
        <v>0</v>
      </c>
      <c r="O9" s="5">
        <f t="shared" si="2"/>
        <v>100</v>
      </c>
      <c r="P9" s="3" t="e">
        <f>AVERAGE(N9:N12)</f>
        <v>#DIV/0!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13.5" customHeight="1" spans="1:26">
      <c r="A10" s="1" t="s">
        <v>91</v>
      </c>
      <c r="B10" s="2">
        <v>1007</v>
      </c>
      <c r="C10" s="2">
        <v>4939</v>
      </c>
      <c r="D10" s="1" t="s">
        <v>108</v>
      </c>
      <c r="E10" s="1" t="s">
        <v>125</v>
      </c>
      <c r="F10" s="1" t="s">
        <v>26</v>
      </c>
      <c r="G10" s="2">
        <v>2</v>
      </c>
      <c r="H10" s="2">
        <v>25</v>
      </c>
      <c r="I10" s="2">
        <v>0</v>
      </c>
      <c r="J10" s="2">
        <v>0</v>
      </c>
      <c r="K10" s="2">
        <v>25</v>
      </c>
      <c r="L10" s="2">
        <v>0</v>
      </c>
      <c r="M10" s="2">
        <f t="shared" si="0"/>
        <v>0</v>
      </c>
      <c r="N10" s="2" t="e">
        <f t="shared" si="1"/>
        <v>#DIV/0!</v>
      </c>
      <c r="O10" s="5" t="e">
        <f t="shared" si="2"/>
        <v>#DIV/0!</v>
      </c>
      <c r="P10" s="3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 spans="1:26">
      <c r="A11" s="1" t="s">
        <v>91</v>
      </c>
      <c r="B11" s="2">
        <v>1007</v>
      </c>
      <c r="C11" s="2">
        <v>4939</v>
      </c>
      <c r="D11" s="1" t="s">
        <v>108</v>
      </c>
      <c r="E11" s="1" t="s">
        <v>125</v>
      </c>
      <c r="F11" s="1" t="s">
        <v>26</v>
      </c>
      <c r="G11" s="2">
        <v>3</v>
      </c>
      <c r="H11" s="2">
        <v>25</v>
      </c>
      <c r="I11" s="2">
        <v>0</v>
      </c>
      <c r="J11" s="2">
        <v>0</v>
      </c>
      <c r="K11" s="2">
        <v>25</v>
      </c>
      <c r="L11" s="2">
        <v>0</v>
      </c>
      <c r="M11" s="2">
        <f t="shared" si="0"/>
        <v>0</v>
      </c>
      <c r="N11" s="2" t="e">
        <f t="shared" si="1"/>
        <v>#DIV/0!</v>
      </c>
      <c r="O11" s="5" t="e">
        <f t="shared" si="2"/>
        <v>#DIV/0!</v>
      </c>
      <c r="P11" s="3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 spans="1:26">
      <c r="A12" s="1" t="s">
        <v>91</v>
      </c>
      <c r="B12" s="2">
        <v>1007</v>
      </c>
      <c r="C12" s="2">
        <v>4939</v>
      </c>
      <c r="D12" s="1" t="s">
        <v>108</v>
      </c>
      <c r="E12" s="1" t="s">
        <v>125</v>
      </c>
      <c r="F12" s="1" t="s">
        <v>26</v>
      </c>
      <c r="G12" s="2">
        <v>4</v>
      </c>
      <c r="H12" s="2">
        <v>25</v>
      </c>
      <c r="I12" s="2">
        <v>0</v>
      </c>
      <c r="J12" s="2">
        <v>0</v>
      </c>
      <c r="K12" s="2">
        <v>25</v>
      </c>
      <c r="L12" s="2">
        <v>0</v>
      </c>
      <c r="M12" s="2">
        <f t="shared" si="0"/>
        <v>0</v>
      </c>
      <c r="N12" s="2" t="e">
        <f t="shared" si="1"/>
        <v>#DIV/0!</v>
      </c>
      <c r="O12" s="5" t="e">
        <f t="shared" si="2"/>
        <v>#DIV/0!</v>
      </c>
      <c r="P12" s="3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.5" customHeight="1" spans="1:26">
      <c r="A13" s="1" t="s">
        <v>86</v>
      </c>
      <c r="B13" s="2">
        <v>1097</v>
      </c>
      <c r="C13" s="2">
        <v>6679</v>
      </c>
      <c r="D13" s="1" t="s">
        <v>108</v>
      </c>
      <c r="E13" s="2"/>
      <c r="F13" s="1" t="s">
        <v>156</v>
      </c>
      <c r="G13" s="2">
        <v>1</v>
      </c>
      <c r="H13" s="2">
        <v>25</v>
      </c>
      <c r="I13" s="2">
        <v>0</v>
      </c>
      <c r="J13" s="2">
        <v>0</v>
      </c>
      <c r="K13" s="2">
        <v>25</v>
      </c>
      <c r="L13" s="2">
        <v>0</v>
      </c>
      <c r="M13" s="2">
        <f t="shared" si="0"/>
        <v>0</v>
      </c>
      <c r="N13" s="2" t="e">
        <f t="shared" si="1"/>
        <v>#DIV/0!</v>
      </c>
      <c r="O13" s="5" t="e">
        <f t="shared" si="2"/>
        <v>#DIV/0!</v>
      </c>
      <c r="P13" s="3" t="e">
        <f>AVERAGE(N13:N16)</f>
        <v>#DIV/0!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 spans="1:26">
      <c r="A14" s="1" t="s">
        <v>86</v>
      </c>
      <c r="B14" s="2">
        <v>1097</v>
      </c>
      <c r="C14" s="2">
        <v>6679</v>
      </c>
      <c r="D14" s="1" t="s">
        <v>108</v>
      </c>
      <c r="E14" s="2"/>
      <c r="F14" s="1" t="s">
        <v>156</v>
      </c>
      <c r="G14" s="2">
        <v>2</v>
      </c>
      <c r="H14" s="2">
        <v>25</v>
      </c>
      <c r="I14" s="2">
        <v>0</v>
      </c>
      <c r="J14" s="2">
        <v>0</v>
      </c>
      <c r="K14" s="2">
        <v>25</v>
      </c>
      <c r="L14" s="2">
        <v>0</v>
      </c>
      <c r="M14" s="2">
        <f t="shared" si="0"/>
        <v>0</v>
      </c>
      <c r="N14" s="2" t="e">
        <f t="shared" si="1"/>
        <v>#DIV/0!</v>
      </c>
      <c r="O14" s="5" t="e">
        <f t="shared" si="2"/>
        <v>#DIV/0!</v>
      </c>
      <c r="P14" s="3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 spans="1:26">
      <c r="A15" s="1" t="s">
        <v>86</v>
      </c>
      <c r="B15" s="2">
        <v>1097</v>
      </c>
      <c r="C15" s="2">
        <v>6679</v>
      </c>
      <c r="D15" s="1" t="s">
        <v>108</v>
      </c>
      <c r="E15" s="2"/>
      <c r="F15" s="1" t="s">
        <v>156</v>
      </c>
      <c r="G15" s="2">
        <v>3</v>
      </c>
      <c r="H15" s="2">
        <v>25</v>
      </c>
      <c r="I15" s="2">
        <v>0</v>
      </c>
      <c r="J15" s="2">
        <v>0</v>
      </c>
      <c r="K15" s="2">
        <v>25</v>
      </c>
      <c r="L15" s="2">
        <v>0</v>
      </c>
      <c r="M15" s="2">
        <f t="shared" si="0"/>
        <v>0</v>
      </c>
      <c r="N15" s="2" t="e">
        <f t="shared" si="1"/>
        <v>#DIV/0!</v>
      </c>
      <c r="O15" s="5" t="e">
        <f t="shared" si="2"/>
        <v>#DIV/0!</v>
      </c>
      <c r="P15" s="3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 spans="1:26">
      <c r="A16" s="1" t="s">
        <v>86</v>
      </c>
      <c r="B16" s="2">
        <v>1097</v>
      </c>
      <c r="C16" s="2">
        <v>6679</v>
      </c>
      <c r="D16" s="1" t="s">
        <v>108</v>
      </c>
      <c r="E16" s="2"/>
      <c r="F16" s="1" t="s">
        <v>156</v>
      </c>
      <c r="G16" s="2">
        <v>4</v>
      </c>
      <c r="H16" s="2">
        <v>25</v>
      </c>
      <c r="I16" s="2">
        <v>1</v>
      </c>
      <c r="J16" s="2">
        <v>0</v>
      </c>
      <c r="K16" s="2">
        <v>24</v>
      </c>
      <c r="L16" s="2">
        <v>0</v>
      </c>
      <c r="M16" s="2">
        <f t="shared" si="0"/>
        <v>0</v>
      </c>
      <c r="N16" s="2">
        <f t="shared" si="1"/>
        <v>100</v>
      </c>
      <c r="O16" s="5">
        <f t="shared" si="2"/>
        <v>0</v>
      </c>
      <c r="P16" s="3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.5" customHeight="1" spans="1:26">
      <c r="A17" s="1" t="s">
        <v>117</v>
      </c>
      <c r="B17" s="2">
        <v>1001</v>
      </c>
      <c r="C17" s="2">
        <v>4887</v>
      </c>
      <c r="D17" s="1" t="s">
        <v>110</v>
      </c>
      <c r="E17" s="1" t="s">
        <v>111</v>
      </c>
      <c r="F17" s="1" t="s">
        <v>156</v>
      </c>
      <c r="G17" s="2">
        <v>1</v>
      </c>
      <c r="H17" s="2">
        <v>25</v>
      </c>
      <c r="I17" s="2">
        <v>1</v>
      </c>
      <c r="J17" s="2">
        <v>0</v>
      </c>
      <c r="K17" s="2">
        <v>24</v>
      </c>
      <c r="L17" s="2">
        <v>0</v>
      </c>
      <c r="M17" s="2">
        <f t="shared" si="0"/>
        <v>0</v>
      </c>
      <c r="N17" s="2">
        <f t="shared" si="1"/>
        <v>100</v>
      </c>
      <c r="O17" s="5">
        <f t="shared" si="2"/>
        <v>0</v>
      </c>
      <c r="P17" s="3" t="e">
        <f>AVERAGE(N17:N20)</f>
        <v>#DIV/0!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3.5" customHeight="1" spans="1:26">
      <c r="A18" s="1" t="s">
        <v>117</v>
      </c>
      <c r="B18" s="2">
        <v>1001</v>
      </c>
      <c r="C18" s="2">
        <v>4887</v>
      </c>
      <c r="D18" s="1" t="s">
        <v>110</v>
      </c>
      <c r="E18" s="1" t="s">
        <v>111</v>
      </c>
      <c r="F18" s="1" t="s">
        <v>156</v>
      </c>
      <c r="G18" s="2">
        <v>2</v>
      </c>
      <c r="H18" s="2">
        <v>25</v>
      </c>
      <c r="I18" s="2">
        <v>1</v>
      </c>
      <c r="J18" s="2">
        <v>0</v>
      </c>
      <c r="K18" s="2">
        <v>24</v>
      </c>
      <c r="L18" s="2">
        <v>0</v>
      </c>
      <c r="M18" s="2">
        <f t="shared" si="0"/>
        <v>0</v>
      </c>
      <c r="N18" s="2">
        <f t="shared" si="1"/>
        <v>100</v>
      </c>
      <c r="O18" s="5">
        <f t="shared" si="2"/>
        <v>0</v>
      </c>
      <c r="P18" s="3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 spans="1:26">
      <c r="A19" s="1" t="s">
        <v>117</v>
      </c>
      <c r="B19" s="2">
        <v>1001</v>
      </c>
      <c r="C19" s="2">
        <v>4887</v>
      </c>
      <c r="D19" s="1" t="s">
        <v>110</v>
      </c>
      <c r="E19" s="1" t="s">
        <v>111</v>
      </c>
      <c r="F19" s="1" t="s">
        <v>156</v>
      </c>
      <c r="G19" s="2">
        <v>3</v>
      </c>
      <c r="H19" s="2">
        <v>24</v>
      </c>
      <c r="I19" s="2">
        <v>0</v>
      </c>
      <c r="J19" s="2">
        <v>0</v>
      </c>
      <c r="K19" s="2">
        <v>24</v>
      </c>
      <c r="L19" s="2">
        <v>0</v>
      </c>
      <c r="M19" s="2">
        <f t="shared" si="0"/>
        <v>0</v>
      </c>
      <c r="N19" s="2" t="e">
        <f t="shared" si="1"/>
        <v>#DIV/0!</v>
      </c>
      <c r="O19" s="5" t="e">
        <f t="shared" si="2"/>
        <v>#DIV/0!</v>
      </c>
      <c r="P19" s="3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 spans="1:26">
      <c r="A20" s="1" t="s">
        <v>117</v>
      </c>
      <c r="B20" s="2">
        <v>1001</v>
      </c>
      <c r="C20" s="2">
        <v>4887</v>
      </c>
      <c r="D20" s="1" t="s">
        <v>110</v>
      </c>
      <c r="E20" s="1" t="s">
        <v>111</v>
      </c>
      <c r="F20" s="1" t="s">
        <v>156</v>
      </c>
      <c r="G20" s="2">
        <v>4</v>
      </c>
      <c r="H20" s="2">
        <v>25</v>
      </c>
      <c r="I20" s="2">
        <v>2</v>
      </c>
      <c r="J20" s="2">
        <v>0</v>
      </c>
      <c r="K20" s="2">
        <v>23</v>
      </c>
      <c r="L20" s="2">
        <v>0</v>
      </c>
      <c r="M20" s="2">
        <f t="shared" si="0"/>
        <v>0</v>
      </c>
      <c r="N20" s="2">
        <f t="shared" si="1"/>
        <v>100</v>
      </c>
      <c r="O20" s="5">
        <f t="shared" si="2"/>
        <v>0</v>
      </c>
      <c r="P20" s="3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 spans="1:26">
      <c r="A21" s="1" t="s">
        <v>86</v>
      </c>
      <c r="B21" s="2">
        <v>1097</v>
      </c>
      <c r="C21" s="2">
        <v>6679</v>
      </c>
      <c r="D21" s="1" t="s">
        <v>110</v>
      </c>
      <c r="E21" s="1" t="s">
        <v>111</v>
      </c>
      <c r="F21" s="1" t="s">
        <v>156</v>
      </c>
      <c r="G21" s="2">
        <v>1</v>
      </c>
      <c r="H21" s="2">
        <v>25</v>
      </c>
      <c r="I21" s="2">
        <v>9</v>
      </c>
      <c r="J21" s="2">
        <v>0</v>
      </c>
      <c r="K21" s="2">
        <v>16</v>
      </c>
      <c r="L21" s="2">
        <v>0</v>
      </c>
      <c r="M21" s="2">
        <f t="shared" si="0"/>
        <v>0</v>
      </c>
      <c r="N21" s="2">
        <f t="shared" si="1"/>
        <v>100</v>
      </c>
      <c r="O21" s="5">
        <f t="shared" si="2"/>
        <v>0</v>
      </c>
      <c r="P21" s="3" t="e">
        <f>AVERAGE(N21:N24)</f>
        <v>#DIV/0!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 spans="1:26">
      <c r="A22" s="1" t="s">
        <v>86</v>
      </c>
      <c r="B22" s="2">
        <v>1097</v>
      </c>
      <c r="C22" s="2">
        <v>6679</v>
      </c>
      <c r="D22" s="1" t="s">
        <v>110</v>
      </c>
      <c r="E22" s="1" t="s">
        <v>111</v>
      </c>
      <c r="F22" s="1" t="s">
        <v>156</v>
      </c>
      <c r="G22" s="2">
        <v>2</v>
      </c>
      <c r="H22" s="2">
        <v>25</v>
      </c>
      <c r="I22" s="2">
        <v>9</v>
      </c>
      <c r="J22" s="2">
        <v>0</v>
      </c>
      <c r="K22" s="2">
        <v>16</v>
      </c>
      <c r="L22" s="2">
        <v>0</v>
      </c>
      <c r="M22" s="2">
        <f t="shared" si="0"/>
        <v>0</v>
      </c>
      <c r="N22" s="2">
        <f t="shared" si="1"/>
        <v>100</v>
      </c>
      <c r="O22" s="5">
        <f t="shared" si="2"/>
        <v>0</v>
      </c>
      <c r="P22" s="3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 spans="1:26">
      <c r="A23" s="1" t="s">
        <v>86</v>
      </c>
      <c r="B23" s="2">
        <v>1097</v>
      </c>
      <c r="C23" s="2">
        <v>6679</v>
      </c>
      <c r="D23" s="1" t="s">
        <v>110</v>
      </c>
      <c r="E23" s="1" t="s">
        <v>111</v>
      </c>
      <c r="F23" s="1" t="s">
        <v>156</v>
      </c>
      <c r="G23" s="2">
        <v>3</v>
      </c>
      <c r="H23" s="2">
        <v>25</v>
      </c>
      <c r="I23" s="2">
        <v>0</v>
      </c>
      <c r="J23" s="2">
        <v>0</v>
      </c>
      <c r="K23" s="2">
        <v>25</v>
      </c>
      <c r="L23" s="2">
        <v>0</v>
      </c>
      <c r="M23" s="2">
        <f t="shared" si="0"/>
        <v>0</v>
      </c>
      <c r="N23" s="2" t="e">
        <f t="shared" si="1"/>
        <v>#DIV/0!</v>
      </c>
      <c r="O23" s="5" t="e">
        <f t="shared" si="2"/>
        <v>#DIV/0!</v>
      </c>
      <c r="P23" s="3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 spans="1:26">
      <c r="A24" s="1" t="s">
        <v>86</v>
      </c>
      <c r="B24" s="2">
        <v>1097</v>
      </c>
      <c r="C24" s="2">
        <v>6679</v>
      </c>
      <c r="D24" s="1" t="s">
        <v>110</v>
      </c>
      <c r="E24" s="1" t="s">
        <v>111</v>
      </c>
      <c r="F24" s="1" t="s">
        <v>156</v>
      </c>
      <c r="G24" s="2">
        <v>4</v>
      </c>
      <c r="H24" s="2">
        <v>25</v>
      </c>
      <c r="I24" s="2">
        <v>2</v>
      </c>
      <c r="J24" s="2">
        <v>0</v>
      </c>
      <c r="K24" s="2">
        <v>23</v>
      </c>
      <c r="L24" s="2">
        <v>0</v>
      </c>
      <c r="M24" s="2">
        <f t="shared" si="0"/>
        <v>0</v>
      </c>
      <c r="N24" s="2">
        <f t="shared" si="1"/>
        <v>100</v>
      </c>
      <c r="O24" s="5">
        <f t="shared" si="2"/>
        <v>0</v>
      </c>
      <c r="P24" s="3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/>
    <row r="26" ht="15.75" customHeight="1" spans="1:26">
      <c r="A26" s="3" t="s">
        <v>47</v>
      </c>
      <c r="B26" s="3">
        <v>1504</v>
      </c>
      <c r="C26" s="3">
        <v>9859</v>
      </c>
      <c r="D26" s="3">
        <v>0.1</v>
      </c>
      <c r="E26" s="3" t="s">
        <v>144</v>
      </c>
      <c r="F26" s="3" t="s">
        <v>215</v>
      </c>
      <c r="G26" s="3"/>
      <c r="H26" s="3"/>
      <c r="I26" s="3" t="s">
        <v>26</v>
      </c>
      <c r="J26" s="3">
        <v>1</v>
      </c>
      <c r="K26" s="3">
        <v>25</v>
      </c>
      <c r="L26" s="3">
        <v>2</v>
      </c>
      <c r="M26" s="3">
        <v>8</v>
      </c>
      <c r="N26" s="3">
        <v>0</v>
      </c>
      <c r="O26" s="3">
        <v>15</v>
      </c>
      <c r="P26" s="3">
        <f t="shared" ref="P26:P69" si="3">K26-(SUM(L26:O26))</f>
        <v>0</v>
      </c>
      <c r="Q26" s="3">
        <f t="shared" ref="Q26:Q69" si="4">(L26/(K26-N26))*100</f>
        <v>8</v>
      </c>
      <c r="R26" s="3">
        <f t="shared" ref="R26:R69" si="5">(O26/(K26-N26))*100</f>
        <v>60</v>
      </c>
      <c r="S26" s="3">
        <f>AVERAGE(Q26:Q29)</f>
        <v>18.2916666666667</v>
      </c>
      <c r="T26" s="3"/>
      <c r="U26" s="3"/>
      <c r="V26" s="3"/>
      <c r="W26" s="3"/>
      <c r="X26" s="3"/>
      <c r="Y26" s="3"/>
      <c r="Z26" s="3"/>
    </row>
    <row r="27" ht="15.75" customHeight="1" spans="1:26">
      <c r="A27" s="3" t="s">
        <v>47</v>
      </c>
      <c r="B27" s="3">
        <v>1504</v>
      </c>
      <c r="C27" s="3">
        <v>9859</v>
      </c>
      <c r="D27" s="3">
        <v>0.1</v>
      </c>
      <c r="E27" s="3" t="s">
        <v>144</v>
      </c>
      <c r="F27" s="3" t="s">
        <v>215</v>
      </c>
      <c r="G27" s="3"/>
      <c r="H27" s="3"/>
      <c r="I27" s="3" t="s">
        <v>26</v>
      </c>
      <c r="J27" s="3">
        <v>2</v>
      </c>
      <c r="K27" s="3">
        <v>25</v>
      </c>
      <c r="L27" s="3">
        <v>3</v>
      </c>
      <c r="M27" s="3">
        <v>3</v>
      </c>
      <c r="N27" s="3">
        <v>0</v>
      </c>
      <c r="O27" s="3">
        <v>19</v>
      </c>
      <c r="P27" s="3">
        <f t="shared" si="3"/>
        <v>0</v>
      </c>
      <c r="Q27" s="3">
        <f t="shared" si="4"/>
        <v>12</v>
      </c>
      <c r="R27" s="3">
        <f t="shared" si="5"/>
        <v>76</v>
      </c>
      <c r="S27" s="3"/>
      <c r="T27" s="3"/>
      <c r="U27" s="3"/>
      <c r="V27" s="3"/>
      <c r="W27" s="3"/>
      <c r="X27" s="3"/>
      <c r="Y27" s="3"/>
      <c r="Z27" s="3"/>
    </row>
    <row r="28" ht="15.75" customHeight="1" spans="1:26">
      <c r="A28" s="3" t="s">
        <v>47</v>
      </c>
      <c r="B28" s="3">
        <v>1504</v>
      </c>
      <c r="C28" s="3">
        <v>9859</v>
      </c>
      <c r="D28" s="3">
        <v>0.1</v>
      </c>
      <c r="E28" s="3" t="s">
        <v>144</v>
      </c>
      <c r="F28" s="3" t="s">
        <v>215</v>
      </c>
      <c r="G28" s="3"/>
      <c r="H28" s="3"/>
      <c r="I28" s="3" t="s">
        <v>26</v>
      </c>
      <c r="J28" s="3">
        <v>3</v>
      </c>
      <c r="K28" s="3">
        <v>25</v>
      </c>
      <c r="L28" s="3">
        <v>6</v>
      </c>
      <c r="M28" s="3">
        <v>6</v>
      </c>
      <c r="N28" s="3">
        <v>0</v>
      </c>
      <c r="O28" s="3">
        <v>13</v>
      </c>
      <c r="P28" s="3">
        <f t="shared" si="3"/>
        <v>0</v>
      </c>
      <c r="Q28" s="3">
        <f t="shared" si="4"/>
        <v>24</v>
      </c>
      <c r="R28" s="3">
        <f t="shared" si="5"/>
        <v>52</v>
      </c>
      <c r="S28" s="3"/>
      <c r="T28" s="3"/>
      <c r="U28" s="3"/>
      <c r="V28" s="3"/>
      <c r="W28" s="3"/>
      <c r="X28" s="3"/>
      <c r="Y28" s="3"/>
      <c r="Z28" s="3"/>
    </row>
    <row r="29" ht="15.75" customHeight="1" spans="1:26">
      <c r="A29" s="3" t="s">
        <v>47</v>
      </c>
      <c r="B29" s="3">
        <v>1504</v>
      </c>
      <c r="C29" s="3">
        <v>9859</v>
      </c>
      <c r="D29" s="3">
        <v>0.1</v>
      </c>
      <c r="E29" s="3" t="s">
        <v>144</v>
      </c>
      <c r="F29" s="3" t="s">
        <v>215</v>
      </c>
      <c r="G29" s="3"/>
      <c r="H29" s="3"/>
      <c r="I29" s="3" t="s">
        <v>26</v>
      </c>
      <c r="J29" s="3">
        <v>4</v>
      </c>
      <c r="K29" s="3">
        <v>25</v>
      </c>
      <c r="L29" s="3">
        <v>7</v>
      </c>
      <c r="M29" s="3">
        <v>9</v>
      </c>
      <c r="N29" s="3">
        <v>1</v>
      </c>
      <c r="O29" s="3">
        <v>8</v>
      </c>
      <c r="P29" s="3">
        <f t="shared" si="3"/>
        <v>0</v>
      </c>
      <c r="Q29" s="3">
        <f t="shared" si="4"/>
        <v>29.1666666666667</v>
      </c>
      <c r="R29" s="3">
        <f t="shared" si="5"/>
        <v>33.3333333333333</v>
      </c>
      <c r="S29" s="3"/>
      <c r="T29" s="3"/>
      <c r="U29" s="3"/>
      <c r="V29" s="3"/>
      <c r="W29" s="3"/>
      <c r="X29" s="3"/>
      <c r="Y29" s="3"/>
      <c r="Z29" s="3"/>
    </row>
    <row r="30" ht="15.75" customHeight="1" spans="1:26">
      <c r="A30" s="3" t="s">
        <v>36</v>
      </c>
      <c r="B30" s="3">
        <v>1294</v>
      </c>
      <c r="C30" s="3">
        <v>8842</v>
      </c>
      <c r="D30" s="3">
        <v>0.1</v>
      </c>
      <c r="E30" s="3" t="s">
        <v>197</v>
      </c>
      <c r="F30" s="3" t="s">
        <v>216</v>
      </c>
      <c r="G30" s="3"/>
      <c r="H30" s="3"/>
      <c r="I30" s="3" t="s">
        <v>26</v>
      </c>
      <c r="J30" s="3">
        <v>1</v>
      </c>
      <c r="K30" s="3">
        <v>25</v>
      </c>
      <c r="L30" s="3">
        <v>14</v>
      </c>
      <c r="M30" s="3">
        <v>11</v>
      </c>
      <c r="N30" s="3">
        <v>0</v>
      </c>
      <c r="O30" s="3">
        <v>0</v>
      </c>
      <c r="P30" s="3">
        <f t="shared" si="3"/>
        <v>0</v>
      </c>
      <c r="Q30" s="3">
        <f t="shared" si="4"/>
        <v>56</v>
      </c>
      <c r="R30" s="3">
        <f t="shared" si="5"/>
        <v>0</v>
      </c>
      <c r="S30" s="3">
        <f>AVERAGE(Q30:Q33)</f>
        <v>69</v>
      </c>
      <c r="T30" s="3"/>
      <c r="U30" s="3"/>
      <c r="V30" s="3"/>
      <c r="W30" s="3"/>
      <c r="X30" s="3"/>
      <c r="Y30" s="3"/>
      <c r="Z30" s="3"/>
    </row>
    <row r="31" ht="15.75" customHeight="1" spans="1:26">
      <c r="A31" s="3" t="s">
        <v>36</v>
      </c>
      <c r="B31" s="3">
        <v>1294</v>
      </c>
      <c r="C31" s="3">
        <v>8842</v>
      </c>
      <c r="D31" s="3">
        <v>0.1</v>
      </c>
      <c r="E31" s="3" t="s">
        <v>197</v>
      </c>
      <c r="F31" s="3" t="s">
        <v>216</v>
      </c>
      <c r="G31" s="3"/>
      <c r="H31" s="3"/>
      <c r="I31" s="3" t="s">
        <v>26</v>
      </c>
      <c r="J31" s="3">
        <v>2</v>
      </c>
      <c r="K31" s="3">
        <v>25</v>
      </c>
      <c r="L31" s="3">
        <v>20</v>
      </c>
      <c r="M31" s="3">
        <v>0</v>
      </c>
      <c r="N31" s="3">
        <v>5</v>
      </c>
      <c r="O31" s="3">
        <v>0</v>
      </c>
      <c r="P31" s="3">
        <f t="shared" si="3"/>
        <v>0</v>
      </c>
      <c r="Q31" s="3">
        <f t="shared" si="4"/>
        <v>100</v>
      </c>
      <c r="R31" s="3">
        <f t="shared" si="5"/>
        <v>0</v>
      </c>
      <c r="S31" s="3"/>
      <c r="T31" s="3"/>
      <c r="U31" s="3"/>
      <c r="V31" s="3"/>
      <c r="W31" s="3"/>
      <c r="X31" s="3"/>
      <c r="Y31" s="3"/>
      <c r="Z31" s="3"/>
    </row>
    <row r="32" ht="15.75" customHeight="1" spans="1:26">
      <c r="A32" s="3" t="s">
        <v>36</v>
      </c>
      <c r="B32" s="3">
        <v>1294</v>
      </c>
      <c r="C32" s="3">
        <v>8842</v>
      </c>
      <c r="D32" s="3">
        <v>0.1</v>
      </c>
      <c r="E32" s="3" t="s">
        <v>197</v>
      </c>
      <c r="F32" s="3" t="s">
        <v>216</v>
      </c>
      <c r="G32" s="3"/>
      <c r="H32" s="3"/>
      <c r="I32" s="3" t="s">
        <v>26</v>
      </c>
      <c r="J32" s="3">
        <v>3</v>
      </c>
      <c r="K32" s="3">
        <v>25</v>
      </c>
      <c r="L32" s="3">
        <v>18</v>
      </c>
      <c r="M32" s="3">
        <v>5</v>
      </c>
      <c r="N32" s="3">
        <v>0</v>
      </c>
      <c r="O32" s="3">
        <v>2</v>
      </c>
      <c r="P32" s="3">
        <f t="shared" si="3"/>
        <v>0</v>
      </c>
      <c r="Q32" s="3">
        <f t="shared" si="4"/>
        <v>72</v>
      </c>
      <c r="R32" s="3">
        <f t="shared" si="5"/>
        <v>8</v>
      </c>
      <c r="S32" s="3"/>
      <c r="T32" s="3"/>
      <c r="U32" s="3"/>
      <c r="V32" s="3"/>
      <c r="W32" s="3"/>
      <c r="X32" s="3"/>
      <c r="Y32" s="3"/>
      <c r="Z32" s="3"/>
    </row>
    <row r="33" ht="15.75" customHeight="1" spans="1:26">
      <c r="A33" s="3" t="s">
        <v>36</v>
      </c>
      <c r="B33" s="3">
        <v>1294</v>
      </c>
      <c r="C33" s="3">
        <v>8842</v>
      </c>
      <c r="D33" s="3">
        <v>0.1</v>
      </c>
      <c r="E33" s="3" t="s">
        <v>197</v>
      </c>
      <c r="F33" s="3" t="s">
        <v>216</v>
      </c>
      <c r="G33" s="3"/>
      <c r="H33" s="3"/>
      <c r="I33" s="3" t="s">
        <v>26</v>
      </c>
      <c r="J33" s="3">
        <v>4</v>
      </c>
      <c r="K33" s="3">
        <v>25</v>
      </c>
      <c r="L33" s="3">
        <v>12</v>
      </c>
      <c r="M33" s="3">
        <v>13</v>
      </c>
      <c r="N33" s="3">
        <v>0</v>
      </c>
      <c r="O33" s="3">
        <v>0</v>
      </c>
      <c r="P33" s="3">
        <f t="shared" si="3"/>
        <v>0</v>
      </c>
      <c r="Q33" s="3">
        <f t="shared" si="4"/>
        <v>48</v>
      </c>
      <c r="R33" s="3">
        <f t="shared" si="5"/>
        <v>0</v>
      </c>
      <c r="S33" s="3"/>
      <c r="T33" s="3"/>
      <c r="U33" s="3"/>
      <c r="V33" s="3"/>
      <c r="W33" s="3"/>
      <c r="X33" s="3"/>
      <c r="Y33" s="3"/>
      <c r="Z33" s="3"/>
    </row>
    <row r="34" ht="15.75" customHeight="1" spans="1:26">
      <c r="A34" s="3" t="s">
        <v>36</v>
      </c>
      <c r="B34" s="3">
        <v>1294</v>
      </c>
      <c r="C34" s="3">
        <v>8842</v>
      </c>
      <c r="D34" s="3">
        <v>0.1</v>
      </c>
      <c r="E34" s="3" t="s">
        <v>197</v>
      </c>
      <c r="F34" s="3" t="s">
        <v>217</v>
      </c>
      <c r="G34" s="3"/>
      <c r="H34" s="3"/>
      <c r="I34" s="3" t="s">
        <v>26</v>
      </c>
      <c r="J34" s="3">
        <v>1</v>
      </c>
      <c r="K34" s="3">
        <v>20</v>
      </c>
      <c r="L34" s="3">
        <v>0</v>
      </c>
      <c r="M34" s="3">
        <v>8</v>
      </c>
      <c r="N34" s="3">
        <v>0</v>
      </c>
      <c r="O34" s="3">
        <v>12</v>
      </c>
      <c r="P34" s="3">
        <f t="shared" si="3"/>
        <v>0</v>
      </c>
      <c r="Q34" s="3">
        <f t="shared" si="4"/>
        <v>0</v>
      </c>
      <c r="R34" s="3">
        <f t="shared" si="5"/>
        <v>60</v>
      </c>
      <c r="S34" s="3">
        <f>AVERAGE(Q34:Q37)</f>
        <v>5.26315789473684</v>
      </c>
      <c r="T34" s="3"/>
      <c r="U34" s="3"/>
      <c r="V34" s="3"/>
      <c r="W34" s="3"/>
      <c r="X34" s="3"/>
      <c r="Y34" s="3"/>
      <c r="Z34" s="3"/>
    </row>
    <row r="35" ht="15.75" customHeight="1" spans="1:26">
      <c r="A35" s="3" t="s">
        <v>36</v>
      </c>
      <c r="B35" s="3">
        <v>1294</v>
      </c>
      <c r="C35" s="3">
        <v>8842</v>
      </c>
      <c r="D35" s="3">
        <v>0.1</v>
      </c>
      <c r="E35" s="3" t="s">
        <v>197</v>
      </c>
      <c r="F35" s="3" t="s">
        <v>217</v>
      </c>
      <c r="G35" s="3"/>
      <c r="H35" s="3"/>
      <c r="I35" s="3" t="s">
        <v>26</v>
      </c>
      <c r="J35" s="3">
        <v>2</v>
      </c>
      <c r="K35" s="3">
        <v>20</v>
      </c>
      <c r="L35" s="3">
        <v>0</v>
      </c>
      <c r="M35" s="3">
        <v>9</v>
      </c>
      <c r="N35" s="3">
        <v>0</v>
      </c>
      <c r="O35" s="3">
        <v>11</v>
      </c>
      <c r="P35" s="3">
        <f t="shared" si="3"/>
        <v>0</v>
      </c>
      <c r="Q35" s="3">
        <f t="shared" si="4"/>
        <v>0</v>
      </c>
      <c r="R35" s="3">
        <f t="shared" si="5"/>
        <v>55</v>
      </c>
      <c r="S35" s="3"/>
      <c r="T35" s="3"/>
      <c r="U35" s="3"/>
      <c r="V35" s="3"/>
      <c r="W35" s="3"/>
      <c r="X35" s="3"/>
      <c r="Y35" s="3"/>
      <c r="Z35" s="3"/>
    </row>
    <row r="36" ht="15.75" customHeight="1" spans="1:26">
      <c r="A36" s="3" t="s">
        <v>36</v>
      </c>
      <c r="B36" s="3">
        <v>1294</v>
      </c>
      <c r="C36" s="3">
        <v>8842</v>
      </c>
      <c r="D36" s="3">
        <v>0.1</v>
      </c>
      <c r="E36" s="3" t="s">
        <v>197</v>
      </c>
      <c r="F36" s="3" t="s">
        <v>217</v>
      </c>
      <c r="G36" s="3"/>
      <c r="H36" s="3"/>
      <c r="I36" s="3" t="s">
        <v>26</v>
      </c>
      <c r="J36" s="3">
        <v>3</v>
      </c>
      <c r="K36" s="3">
        <v>20</v>
      </c>
      <c r="L36" s="3">
        <v>1</v>
      </c>
      <c r="M36" s="3">
        <v>3</v>
      </c>
      <c r="N36" s="3">
        <v>1</v>
      </c>
      <c r="O36" s="3">
        <v>15</v>
      </c>
      <c r="P36" s="3">
        <f t="shared" si="3"/>
        <v>0</v>
      </c>
      <c r="Q36" s="3">
        <f t="shared" si="4"/>
        <v>5.26315789473684</v>
      </c>
      <c r="R36" s="3">
        <f t="shared" si="5"/>
        <v>78.9473684210526</v>
      </c>
      <c r="S36" s="3"/>
      <c r="T36" s="3"/>
      <c r="U36" s="3"/>
      <c r="V36" s="3"/>
      <c r="W36" s="3"/>
      <c r="X36" s="3"/>
      <c r="Y36" s="3"/>
      <c r="Z36" s="3"/>
    </row>
    <row r="37" ht="15.75" customHeight="1" spans="1:26">
      <c r="A37" s="3" t="s">
        <v>36</v>
      </c>
      <c r="B37" s="3">
        <v>1294</v>
      </c>
      <c r="C37" s="3">
        <v>8842</v>
      </c>
      <c r="D37" s="3">
        <v>0.1</v>
      </c>
      <c r="E37" s="3" t="s">
        <v>197</v>
      </c>
      <c r="F37" s="3" t="s">
        <v>217</v>
      </c>
      <c r="G37" s="3"/>
      <c r="H37" s="3"/>
      <c r="I37" s="3" t="s">
        <v>26</v>
      </c>
      <c r="J37" s="3">
        <v>4</v>
      </c>
      <c r="K37" s="3">
        <v>20</v>
      </c>
      <c r="L37" s="3">
        <v>3</v>
      </c>
      <c r="M37" s="3">
        <v>4</v>
      </c>
      <c r="N37" s="3">
        <v>1</v>
      </c>
      <c r="O37" s="3">
        <v>12</v>
      </c>
      <c r="P37" s="3">
        <f t="shared" si="3"/>
        <v>0</v>
      </c>
      <c r="Q37" s="3">
        <f t="shared" si="4"/>
        <v>15.7894736842105</v>
      </c>
      <c r="R37" s="3">
        <f t="shared" si="5"/>
        <v>63.1578947368421</v>
      </c>
      <c r="S37" s="3"/>
      <c r="T37" s="3"/>
      <c r="U37" s="3"/>
      <c r="V37" s="3"/>
      <c r="W37" s="3"/>
      <c r="X37" s="3"/>
      <c r="Y37" s="3"/>
      <c r="Z37" s="3"/>
    </row>
    <row r="38" ht="13.5" customHeight="1" spans="1:26">
      <c r="A38" s="3" t="s">
        <v>47</v>
      </c>
      <c r="B38" s="3">
        <v>1504</v>
      </c>
      <c r="C38" s="3">
        <v>9859</v>
      </c>
      <c r="D38" s="3">
        <v>0.1</v>
      </c>
      <c r="E38" s="3" t="s">
        <v>144</v>
      </c>
      <c r="F38" s="3" t="s">
        <v>215</v>
      </c>
      <c r="G38" s="3"/>
      <c r="H38" s="4"/>
      <c r="I38" s="4" t="s">
        <v>156</v>
      </c>
      <c r="J38" s="3">
        <v>1</v>
      </c>
      <c r="K38" s="3">
        <v>25</v>
      </c>
      <c r="L38" s="3">
        <v>19</v>
      </c>
      <c r="M38" s="3">
        <v>3</v>
      </c>
      <c r="N38" s="3">
        <v>0</v>
      </c>
      <c r="O38" s="3">
        <v>3</v>
      </c>
      <c r="P38" s="3">
        <f t="shared" si="3"/>
        <v>0</v>
      </c>
      <c r="Q38" s="3">
        <f t="shared" si="4"/>
        <v>76</v>
      </c>
      <c r="R38" s="3">
        <f t="shared" si="5"/>
        <v>12</v>
      </c>
      <c r="S38" s="3">
        <f>AVERAGE(Q38:Q41)</f>
        <v>78.6666666666667</v>
      </c>
      <c r="T38" s="3"/>
      <c r="U38" s="3"/>
      <c r="V38" s="3"/>
      <c r="W38" s="3"/>
      <c r="X38" s="3"/>
      <c r="Y38" s="3"/>
      <c r="Z38" s="3"/>
    </row>
    <row r="39" ht="13.5" customHeight="1" spans="1:26">
      <c r="A39" s="3" t="s">
        <v>47</v>
      </c>
      <c r="B39" s="3">
        <v>1504</v>
      </c>
      <c r="C39" s="3">
        <v>9859</v>
      </c>
      <c r="D39" s="3">
        <v>0.1</v>
      </c>
      <c r="E39" s="3" t="s">
        <v>144</v>
      </c>
      <c r="F39" s="3" t="s">
        <v>215</v>
      </c>
      <c r="G39" s="3"/>
      <c r="H39" s="4"/>
      <c r="I39" s="4" t="s">
        <v>156</v>
      </c>
      <c r="J39" s="3">
        <v>2</v>
      </c>
      <c r="K39" s="3">
        <v>25</v>
      </c>
      <c r="L39" s="3">
        <v>22</v>
      </c>
      <c r="M39" s="3">
        <v>3</v>
      </c>
      <c r="N39" s="3">
        <v>0</v>
      </c>
      <c r="O39" s="3">
        <v>0</v>
      </c>
      <c r="P39" s="3">
        <f t="shared" si="3"/>
        <v>0</v>
      </c>
      <c r="Q39" s="3">
        <f t="shared" si="4"/>
        <v>88</v>
      </c>
      <c r="R39" s="3">
        <f t="shared" si="5"/>
        <v>0</v>
      </c>
      <c r="S39" s="3"/>
      <c r="T39" s="3"/>
      <c r="U39" s="3"/>
      <c r="V39" s="3"/>
      <c r="W39" s="3"/>
      <c r="X39" s="3"/>
      <c r="Y39" s="3"/>
      <c r="Z39" s="3"/>
    </row>
    <row r="40" ht="13.5" customHeight="1" spans="1:26">
      <c r="A40" s="3" t="s">
        <v>47</v>
      </c>
      <c r="B40" s="3">
        <v>1504</v>
      </c>
      <c r="C40" s="3">
        <v>9859</v>
      </c>
      <c r="D40" s="3">
        <v>0.1</v>
      </c>
      <c r="E40" s="3" t="s">
        <v>144</v>
      </c>
      <c r="F40" s="3" t="s">
        <v>215</v>
      </c>
      <c r="G40" s="3"/>
      <c r="H40" s="4"/>
      <c r="I40" s="4" t="s">
        <v>156</v>
      </c>
      <c r="J40" s="3">
        <v>3</v>
      </c>
      <c r="K40" s="3">
        <v>25</v>
      </c>
      <c r="L40" s="3">
        <v>21</v>
      </c>
      <c r="M40" s="3">
        <v>3</v>
      </c>
      <c r="N40" s="3">
        <v>0</v>
      </c>
      <c r="O40" s="3">
        <v>1</v>
      </c>
      <c r="P40" s="3">
        <f t="shared" si="3"/>
        <v>0</v>
      </c>
      <c r="Q40" s="3">
        <f t="shared" si="4"/>
        <v>84</v>
      </c>
      <c r="R40" s="3">
        <f t="shared" si="5"/>
        <v>4</v>
      </c>
      <c r="S40" s="3"/>
      <c r="T40" s="3"/>
      <c r="U40" s="3"/>
      <c r="V40" s="3"/>
      <c r="W40" s="3"/>
      <c r="X40" s="3"/>
      <c r="Y40" s="3"/>
      <c r="Z40" s="3"/>
    </row>
    <row r="41" ht="13.5" customHeight="1" spans="1:26">
      <c r="A41" s="3" t="s">
        <v>47</v>
      </c>
      <c r="B41" s="3">
        <v>1504</v>
      </c>
      <c r="C41" s="3">
        <v>9859</v>
      </c>
      <c r="D41" s="3">
        <v>0.1</v>
      </c>
      <c r="E41" s="3" t="s">
        <v>144</v>
      </c>
      <c r="F41" s="3" t="s">
        <v>215</v>
      </c>
      <c r="G41" s="3"/>
      <c r="H41" s="4"/>
      <c r="I41" s="4" t="s">
        <v>156</v>
      </c>
      <c r="J41" s="3">
        <v>4</v>
      </c>
      <c r="K41" s="3">
        <v>25</v>
      </c>
      <c r="L41" s="3">
        <v>16</v>
      </c>
      <c r="M41" s="3">
        <v>1</v>
      </c>
      <c r="N41" s="3">
        <v>1</v>
      </c>
      <c r="O41" s="3">
        <v>7</v>
      </c>
      <c r="P41" s="3">
        <f t="shared" si="3"/>
        <v>0</v>
      </c>
      <c r="Q41" s="3">
        <f t="shared" si="4"/>
        <v>66.6666666666667</v>
      </c>
      <c r="R41" s="3">
        <f t="shared" si="5"/>
        <v>29.1666666666667</v>
      </c>
      <c r="S41" s="3"/>
      <c r="T41" s="3"/>
      <c r="U41" s="3"/>
      <c r="V41" s="3"/>
      <c r="W41" s="3"/>
      <c r="X41" s="3"/>
      <c r="Y41" s="3"/>
      <c r="Z41" s="3"/>
    </row>
    <row r="42" ht="13.5" customHeight="1" spans="1:26">
      <c r="A42" s="3" t="s">
        <v>36</v>
      </c>
      <c r="B42" s="3">
        <v>1294</v>
      </c>
      <c r="C42" s="3">
        <v>8842</v>
      </c>
      <c r="D42" s="3">
        <v>0.1</v>
      </c>
      <c r="E42" s="3" t="s">
        <v>197</v>
      </c>
      <c r="F42" s="3" t="s">
        <v>216</v>
      </c>
      <c r="G42" s="3"/>
      <c r="H42" s="4"/>
      <c r="I42" s="4" t="s">
        <v>156</v>
      </c>
      <c r="J42" s="3">
        <v>1</v>
      </c>
      <c r="K42" s="3">
        <v>25</v>
      </c>
      <c r="L42" s="3">
        <v>17</v>
      </c>
      <c r="M42" s="3">
        <v>4</v>
      </c>
      <c r="N42" s="3">
        <v>4</v>
      </c>
      <c r="O42" s="3">
        <v>0</v>
      </c>
      <c r="P42" s="3">
        <f t="shared" si="3"/>
        <v>0</v>
      </c>
      <c r="Q42" s="3">
        <f t="shared" si="4"/>
        <v>80.9523809523809</v>
      </c>
      <c r="R42" s="3">
        <f t="shared" si="5"/>
        <v>0</v>
      </c>
      <c r="S42" s="3">
        <f>AVERAGE(Q42:Q45)</f>
        <v>91.4947797300738</v>
      </c>
      <c r="T42" s="3"/>
      <c r="U42" s="3"/>
      <c r="V42" s="3"/>
      <c r="W42" s="3"/>
      <c r="X42" s="3"/>
      <c r="Y42" s="3"/>
      <c r="Z42" s="3"/>
    </row>
    <row r="43" ht="13.5" customHeight="1" spans="1:26">
      <c r="A43" s="3" t="s">
        <v>36</v>
      </c>
      <c r="B43" s="3">
        <v>1294</v>
      </c>
      <c r="C43" s="3">
        <v>8842</v>
      </c>
      <c r="D43" s="3">
        <v>0.1</v>
      </c>
      <c r="E43" s="3" t="s">
        <v>197</v>
      </c>
      <c r="F43" s="3" t="s">
        <v>216</v>
      </c>
      <c r="G43" s="3"/>
      <c r="H43" s="4"/>
      <c r="I43" s="4" t="s">
        <v>156</v>
      </c>
      <c r="J43" s="3">
        <v>2</v>
      </c>
      <c r="K43" s="3">
        <v>25</v>
      </c>
      <c r="L43" s="3">
        <v>16</v>
      </c>
      <c r="M43" s="3">
        <v>1</v>
      </c>
      <c r="N43" s="3">
        <v>8</v>
      </c>
      <c r="O43" s="3">
        <v>0</v>
      </c>
      <c r="P43" s="3">
        <f t="shared" si="3"/>
        <v>0</v>
      </c>
      <c r="Q43" s="3">
        <f t="shared" si="4"/>
        <v>94.1176470588235</v>
      </c>
      <c r="R43" s="3">
        <f t="shared" si="5"/>
        <v>0</v>
      </c>
      <c r="S43" s="3"/>
      <c r="T43" s="3"/>
      <c r="U43" s="3"/>
      <c r="V43" s="3"/>
      <c r="W43" s="3"/>
      <c r="X43" s="3"/>
      <c r="Y43" s="3"/>
      <c r="Z43" s="3"/>
    </row>
    <row r="44" ht="13.5" customHeight="1" spans="1:26">
      <c r="A44" s="3" t="s">
        <v>36</v>
      </c>
      <c r="B44" s="3">
        <v>1294</v>
      </c>
      <c r="C44" s="3">
        <v>8842</v>
      </c>
      <c r="D44" s="3">
        <v>0.1</v>
      </c>
      <c r="E44" s="3" t="s">
        <v>197</v>
      </c>
      <c r="F44" s="3" t="s">
        <v>216</v>
      </c>
      <c r="G44" s="3"/>
      <c r="H44" s="4"/>
      <c r="I44" s="4" t="s">
        <v>156</v>
      </c>
      <c r="J44" s="3">
        <v>3</v>
      </c>
      <c r="K44" s="3">
        <v>24</v>
      </c>
      <c r="L44" s="3">
        <v>21</v>
      </c>
      <c r="M44" s="3">
        <v>0</v>
      </c>
      <c r="N44" s="3">
        <v>3</v>
      </c>
      <c r="O44" s="3">
        <v>0</v>
      </c>
      <c r="P44" s="3">
        <f t="shared" si="3"/>
        <v>0</v>
      </c>
      <c r="Q44" s="3">
        <f t="shared" si="4"/>
        <v>100</v>
      </c>
      <c r="R44" s="3">
        <f t="shared" si="5"/>
        <v>0</v>
      </c>
      <c r="S44" s="3"/>
      <c r="T44" s="3"/>
      <c r="U44" s="3"/>
      <c r="V44" s="3"/>
      <c r="W44" s="3"/>
      <c r="X44" s="3"/>
      <c r="Y44" s="3"/>
      <c r="Z44" s="3"/>
    </row>
    <row r="45" ht="13.5" customHeight="1" spans="1:26">
      <c r="A45" s="3" t="s">
        <v>36</v>
      </c>
      <c r="B45" s="3">
        <v>1294</v>
      </c>
      <c r="C45" s="3">
        <v>8842</v>
      </c>
      <c r="D45" s="3">
        <v>0.1</v>
      </c>
      <c r="E45" s="3" t="s">
        <v>197</v>
      </c>
      <c r="F45" s="3" t="s">
        <v>216</v>
      </c>
      <c r="G45" s="3"/>
      <c r="H45" s="4"/>
      <c r="I45" s="4" t="s">
        <v>156</v>
      </c>
      <c r="J45" s="3">
        <v>4</v>
      </c>
      <c r="K45" s="3">
        <v>25</v>
      </c>
      <c r="L45" s="3">
        <v>20</v>
      </c>
      <c r="M45" s="3">
        <v>2</v>
      </c>
      <c r="N45" s="3">
        <v>3</v>
      </c>
      <c r="O45" s="3">
        <v>0</v>
      </c>
      <c r="P45" s="3">
        <f t="shared" si="3"/>
        <v>0</v>
      </c>
      <c r="Q45" s="3">
        <f t="shared" si="4"/>
        <v>90.9090909090909</v>
      </c>
      <c r="R45" s="3">
        <f t="shared" si="5"/>
        <v>0</v>
      </c>
      <c r="S45" s="3"/>
      <c r="T45" s="3"/>
      <c r="U45" s="3"/>
      <c r="V45" s="3"/>
      <c r="W45" s="3"/>
      <c r="X45" s="3"/>
      <c r="Y45" s="3"/>
      <c r="Z45" s="3"/>
    </row>
    <row r="46" ht="13.5" customHeight="1" spans="1:26">
      <c r="A46" s="3" t="s">
        <v>36</v>
      </c>
      <c r="B46" s="3">
        <v>1294</v>
      </c>
      <c r="C46" s="3">
        <v>8842</v>
      </c>
      <c r="D46" s="3">
        <v>0.1</v>
      </c>
      <c r="E46" s="3" t="s">
        <v>197</v>
      </c>
      <c r="F46" s="3" t="s">
        <v>217</v>
      </c>
      <c r="G46" s="3"/>
      <c r="H46" s="4"/>
      <c r="I46" s="4" t="s">
        <v>156</v>
      </c>
      <c r="J46" s="3">
        <v>1</v>
      </c>
      <c r="K46" s="3">
        <v>20</v>
      </c>
      <c r="L46" s="3">
        <v>0</v>
      </c>
      <c r="M46" s="3">
        <v>5</v>
      </c>
      <c r="N46" s="3">
        <v>3</v>
      </c>
      <c r="O46" s="3">
        <v>12</v>
      </c>
      <c r="P46" s="3">
        <f t="shared" si="3"/>
        <v>0</v>
      </c>
      <c r="Q46" s="3">
        <f t="shared" si="4"/>
        <v>0</v>
      </c>
      <c r="R46" s="3">
        <f t="shared" si="5"/>
        <v>70.5882352941177</v>
      </c>
      <c r="S46" s="3">
        <f>AVERAGE(Q46:Q49)</f>
        <v>3.81578947368421</v>
      </c>
      <c r="T46" s="3"/>
      <c r="U46" s="3"/>
      <c r="V46" s="3"/>
      <c r="W46" s="3"/>
      <c r="X46" s="3"/>
      <c r="Y46" s="3"/>
      <c r="Z46" s="3"/>
    </row>
    <row r="47" ht="13.5" customHeight="1" spans="1:26">
      <c r="A47" s="3" t="s">
        <v>36</v>
      </c>
      <c r="B47" s="3">
        <v>1294</v>
      </c>
      <c r="C47" s="3">
        <v>8842</v>
      </c>
      <c r="D47" s="3">
        <v>0.1</v>
      </c>
      <c r="E47" s="3" t="s">
        <v>197</v>
      </c>
      <c r="F47" s="3" t="s">
        <v>217</v>
      </c>
      <c r="G47" s="3"/>
      <c r="H47" s="4"/>
      <c r="I47" s="4" t="s">
        <v>156</v>
      </c>
      <c r="J47" s="3">
        <v>2</v>
      </c>
      <c r="K47" s="3">
        <v>20</v>
      </c>
      <c r="L47" s="3">
        <v>1</v>
      </c>
      <c r="M47" s="3">
        <v>0</v>
      </c>
      <c r="N47" s="3">
        <v>1</v>
      </c>
      <c r="O47" s="3">
        <v>18</v>
      </c>
      <c r="P47" s="3">
        <f t="shared" si="3"/>
        <v>0</v>
      </c>
      <c r="Q47" s="3">
        <f t="shared" si="4"/>
        <v>5.26315789473684</v>
      </c>
      <c r="R47" s="3">
        <f t="shared" si="5"/>
        <v>94.7368421052632</v>
      </c>
      <c r="S47" s="3"/>
      <c r="T47" s="3"/>
      <c r="U47" s="3"/>
      <c r="V47" s="3"/>
      <c r="W47" s="3"/>
      <c r="X47" s="3"/>
      <c r="Y47" s="3"/>
      <c r="Z47" s="3"/>
    </row>
    <row r="48" ht="13.5" customHeight="1" spans="1:26">
      <c r="A48" s="3" t="s">
        <v>36</v>
      </c>
      <c r="B48" s="3">
        <v>1294</v>
      </c>
      <c r="C48" s="3">
        <v>8842</v>
      </c>
      <c r="D48" s="3">
        <v>0.1</v>
      </c>
      <c r="E48" s="3" t="s">
        <v>197</v>
      </c>
      <c r="F48" s="3" t="s">
        <v>217</v>
      </c>
      <c r="G48" s="3"/>
      <c r="H48" s="4"/>
      <c r="I48" s="4" t="s">
        <v>156</v>
      </c>
      <c r="J48" s="3">
        <v>3</v>
      </c>
      <c r="K48" s="3">
        <v>20</v>
      </c>
      <c r="L48" s="3">
        <v>2</v>
      </c>
      <c r="M48" s="3">
        <v>7</v>
      </c>
      <c r="N48" s="3">
        <v>0</v>
      </c>
      <c r="O48" s="3">
        <v>11</v>
      </c>
      <c r="P48" s="3">
        <f t="shared" si="3"/>
        <v>0</v>
      </c>
      <c r="Q48" s="3">
        <f t="shared" si="4"/>
        <v>10</v>
      </c>
      <c r="R48" s="3">
        <f t="shared" si="5"/>
        <v>55</v>
      </c>
      <c r="S48" s="3"/>
      <c r="T48" s="3"/>
      <c r="U48" s="3"/>
      <c r="V48" s="3"/>
      <c r="W48" s="3"/>
      <c r="X48" s="3"/>
      <c r="Y48" s="3"/>
      <c r="Z48" s="3"/>
    </row>
    <row r="49" ht="13.5" customHeight="1" spans="1:26">
      <c r="A49" s="3" t="s">
        <v>36</v>
      </c>
      <c r="B49" s="3">
        <v>1294</v>
      </c>
      <c r="C49" s="3">
        <v>8842</v>
      </c>
      <c r="D49" s="3">
        <v>0.1</v>
      </c>
      <c r="E49" s="3" t="s">
        <v>197</v>
      </c>
      <c r="F49" s="3" t="s">
        <v>217</v>
      </c>
      <c r="G49" s="3"/>
      <c r="H49" s="4"/>
      <c r="I49" s="4" t="s">
        <v>156</v>
      </c>
      <c r="J49" s="3">
        <v>4</v>
      </c>
      <c r="K49" s="3">
        <v>20</v>
      </c>
      <c r="L49" s="3">
        <v>0</v>
      </c>
      <c r="M49" s="3">
        <v>4</v>
      </c>
      <c r="N49" s="3">
        <v>0</v>
      </c>
      <c r="O49" s="3">
        <v>16</v>
      </c>
      <c r="P49" s="3">
        <f t="shared" si="3"/>
        <v>0</v>
      </c>
      <c r="Q49" s="3">
        <f t="shared" si="4"/>
        <v>0</v>
      </c>
      <c r="R49" s="3">
        <f t="shared" si="5"/>
        <v>80</v>
      </c>
      <c r="S49" s="3"/>
      <c r="T49" s="3"/>
      <c r="U49" s="3"/>
      <c r="V49" s="3"/>
      <c r="W49" s="3"/>
      <c r="X49" s="3"/>
      <c r="Y49" s="3"/>
      <c r="Z49" s="3"/>
    </row>
    <row r="50" ht="13.5" customHeight="1" spans="1:26">
      <c r="A50" s="4" t="s">
        <v>84</v>
      </c>
      <c r="B50" s="3">
        <v>1177</v>
      </c>
      <c r="C50" s="3">
        <v>8175</v>
      </c>
      <c r="D50" s="3"/>
      <c r="E50" s="4" t="s">
        <v>38</v>
      </c>
      <c r="F50" s="4" t="s">
        <v>87</v>
      </c>
      <c r="G50" s="4" t="s">
        <v>87</v>
      </c>
      <c r="H50" s="4" t="s">
        <v>40</v>
      </c>
      <c r="I50" s="4" t="s">
        <v>26</v>
      </c>
      <c r="J50" s="3">
        <v>1</v>
      </c>
      <c r="K50" s="3">
        <v>25</v>
      </c>
      <c r="L50" s="3">
        <v>10</v>
      </c>
      <c r="M50" s="3">
        <v>6</v>
      </c>
      <c r="N50" s="3">
        <v>0</v>
      </c>
      <c r="O50" s="3">
        <v>9</v>
      </c>
      <c r="P50" s="3">
        <f t="shared" si="3"/>
        <v>0</v>
      </c>
      <c r="Q50" s="3">
        <f t="shared" si="4"/>
        <v>40</v>
      </c>
      <c r="R50" s="3">
        <f t="shared" si="5"/>
        <v>36</v>
      </c>
      <c r="S50" s="3">
        <f>AVERAGE(Q50:Q53)</f>
        <v>64</v>
      </c>
      <c r="T50" s="3"/>
      <c r="U50" s="3"/>
      <c r="V50" s="3"/>
      <c r="W50" s="3"/>
      <c r="X50" s="3"/>
      <c r="Y50" s="3"/>
      <c r="Z50" s="3"/>
    </row>
    <row r="51" ht="13.5" customHeight="1" spans="1:26">
      <c r="A51" s="4" t="s">
        <v>84</v>
      </c>
      <c r="B51" s="3">
        <v>1177</v>
      </c>
      <c r="C51" s="3">
        <v>8175</v>
      </c>
      <c r="D51" s="3"/>
      <c r="E51" s="4" t="s">
        <v>38</v>
      </c>
      <c r="F51" s="4" t="s">
        <v>87</v>
      </c>
      <c r="G51" s="4" t="s">
        <v>87</v>
      </c>
      <c r="H51" s="4" t="s">
        <v>40</v>
      </c>
      <c r="I51" s="4" t="s">
        <v>26</v>
      </c>
      <c r="J51" s="3">
        <v>2</v>
      </c>
      <c r="K51" s="3">
        <v>25</v>
      </c>
      <c r="L51" s="3">
        <v>18</v>
      </c>
      <c r="M51" s="3">
        <v>3</v>
      </c>
      <c r="N51" s="3">
        <v>0</v>
      </c>
      <c r="O51" s="3">
        <v>4</v>
      </c>
      <c r="P51" s="3">
        <f t="shared" si="3"/>
        <v>0</v>
      </c>
      <c r="Q51" s="3">
        <f t="shared" si="4"/>
        <v>72</v>
      </c>
      <c r="R51" s="3">
        <f t="shared" si="5"/>
        <v>16</v>
      </c>
      <c r="S51" s="3"/>
      <c r="T51" s="3"/>
      <c r="U51" s="3"/>
      <c r="V51" s="3"/>
      <c r="W51" s="3"/>
      <c r="X51" s="3"/>
      <c r="Y51" s="3"/>
      <c r="Z51" s="3"/>
    </row>
    <row r="52" ht="13.5" customHeight="1" spans="1:26">
      <c r="A52" s="4" t="s">
        <v>84</v>
      </c>
      <c r="B52" s="3">
        <v>1177</v>
      </c>
      <c r="C52" s="3">
        <v>8175</v>
      </c>
      <c r="D52" s="3"/>
      <c r="E52" s="4" t="s">
        <v>38</v>
      </c>
      <c r="F52" s="4" t="s">
        <v>87</v>
      </c>
      <c r="G52" s="4" t="s">
        <v>87</v>
      </c>
      <c r="H52" s="4" t="s">
        <v>40</v>
      </c>
      <c r="I52" s="4" t="s">
        <v>26</v>
      </c>
      <c r="J52" s="3">
        <v>3</v>
      </c>
      <c r="K52" s="3">
        <v>25</v>
      </c>
      <c r="L52" s="3">
        <v>18</v>
      </c>
      <c r="M52" s="3">
        <v>2</v>
      </c>
      <c r="N52" s="3">
        <v>0</v>
      </c>
      <c r="O52" s="3">
        <v>5</v>
      </c>
      <c r="P52" s="3">
        <f t="shared" si="3"/>
        <v>0</v>
      </c>
      <c r="Q52" s="3">
        <f t="shared" si="4"/>
        <v>72</v>
      </c>
      <c r="R52" s="3">
        <f t="shared" si="5"/>
        <v>20</v>
      </c>
      <c r="S52" s="3"/>
      <c r="T52" s="3"/>
      <c r="U52" s="3"/>
      <c r="V52" s="3"/>
      <c r="W52" s="3"/>
      <c r="X52" s="3"/>
      <c r="Y52" s="3"/>
      <c r="Z52" s="3"/>
    </row>
    <row r="53" ht="13.5" customHeight="1" spans="1:26">
      <c r="A53" s="4" t="s">
        <v>84</v>
      </c>
      <c r="B53" s="3">
        <v>1177</v>
      </c>
      <c r="C53" s="3">
        <v>8175</v>
      </c>
      <c r="D53" s="3"/>
      <c r="E53" s="4" t="s">
        <v>38</v>
      </c>
      <c r="F53" s="4" t="s">
        <v>87</v>
      </c>
      <c r="G53" s="4" t="s">
        <v>87</v>
      </c>
      <c r="H53" s="4" t="s">
        <v>40</v>
      </c>
      <c r="I53" s="4" t="s">
        <v>26</v>
      </c>
      <c r="J53" s="3">
        <v>4</v>
      </c>
      <c r="K53" s="3">
        <v>25</v>
      </c>
      <c r="L53" s="3">
        <v>18</v>
      </c>
      <c r="M53" s="3">
        <v>3</v>
      </c>
      <c r="N53" s="3">
        <v>0</v>
      </c>
      <c r="O53" s="3">
        <v>4</v>
      </c>
      <c r="P53" s="3">
        <f t="shared" si="3"/>
        <v>0</v>
      </c>
      <c r="Q53" s="3">
        <f t="shared" si="4"/>
        <v>72</v>
      </c>
      <c r="R53" s="3">
        <f t="shared" si="5"/>
        <v>16</v>
      </c>
      <c r="S53" s="3"/>
      <c r="T53" s="3"/>
      <c r="U53" s="3"/>
      <c r="V53" s="3"/>
      <c r="W53" s="3"/>
      <c r="X53" s="3"/>
      <c r="Y53" s="3"/>
      <c r="Z53" s="3"/>
    </row>
    <row r="54" ht="13.5" customHeight="1" spans="1:26">
      <c r="A54" s="4" t="s">
        <v>93</v>
      </c>
      <c r="B54" s="3">
        <v>1661</v>
      </c>
      <c r="C54" s="3">
        <v>10216</v>
      </c>
      <c r="D54" s="3"/>
      <c r="E54" s="4" t="s">
        <v>22</v>
      </c>
      <c r="F54" s="4" t="s">
        <v>119</v>
      </c>
      <c r="G54" s="4" t="s">
        <v>119</v>
      </c>
      <c r="H54" s="4" t="s">
        <v>25</v>
      </c>
      <c r="I54" s="4" t="s">
        <v>26</v>
      </c>
      <c r="J54" s="3">
        <v>1</v>
      </c>
      <c r="K54" s="3">
        <v>20</v>
      </c>
      <c r="L54" s="3">
        <v>20</v>
      </c>
      <c r="M54" s="3">
        <v>0</v>
      </c>
      <c r="N54" s="3">
        <v>0</v>
      </c>
      <c r="O54" s="3">
        <v>0</v>
      </c>
      <c r="P54" s="3">
        <f t="shared" si="3"/>
        <v>0</v>
      </c>
      <c r="Q54" s="3">
        <f t="shared" si="4"/>
        <v>100</v>
      </c>
      <c r="R54" s="3">
        <f t="shared" si="5"/>
        <v>0</v>
      </c>
      <c r="S54" s="3">
        <f>AVERAGE(Q54:Q57)</f>
        <v>89.1666666666667</v>
      </c>
      <c r="T54" s="3"/>
      <c r="U54" s="3"/>
      <c r="V54" s="3"/>
      <c r="W54" s="3"/>
      <c r="X54" s="3"/>
      <c r="Y54" s="3"/>
      <c r="Z54" s="3"/>
    </row>
    <row r="55" ht="13.5" customHeight="1" spans="1:26">
      <c r="A55" s="4" t="s">
        <v>93</v>
      </c>
      <c r="B55" s="3">
        <v>1661</v>
      </c>
      <c r="C55" s="3">
        <v>10216</v>
      </c>
      <c r="D55" s="3"/>
      <c r="E55" s="4" t="s">
        <v>22</v>
      </c>
      <c r="F55" s="4" t="s">
        <v>119</v>
      </c>
      <c r="G55" s="4" t="s">
        <v>119</v>
      </c>
      <c r="H55" s="4" t="s">
        <v>25</v>
      </c>
      <c r="I55" s="4" t="s">
        <v>26</v>
      </c>
      <c r="J55" s="3">
        <v>2</v>
      </c>
      <c r="K55" s="3">
        <v>20</v>
      </c>
      <c r="L55" s="3">
        <v>16</v>
      </c>
      <c r="M55" s="3">
        <v>0</v>
      </c>
      <c r="N55" s="3">
        <v>0</v>
      </c>
      <c r="O55" s="3">
        <v>4</v>
      </c>
      <c r="P55" s="3">
        <f t="shared" si="3"/>
        <v>0</v>
      </c>
      <c r="Q55" s="3">
        <f t="shared" si="4"/>
        <v>80</v>
      </c>
      <c r="R55" s="3">
        <f t="shared" si="5"/>
        <v>20</v>
      </c>
      <c r="S55" s="3"/>
      <c r="T55" s="3"/>
      <c r="U55" s="3"/>
      <c r="V55" s="3"/>
      <c r="W55" s="3"/>
      <c r="X55" s="3"/>
      <c r="Y55" s="3"/>
      <c r="Z55" s="3"/>
    </row>
    <row r="56" ht="13.5" customHeight="1" spans="1:26">
      <c r="A56" s="4" t="s">
        <v>93</v>
      </c>
      <c r="B56" s="3">
        <v>1661</v>
      </c>
      <c r="C56" s="3">
        <v>10216</v>
      </c>
      <c r="D56" s="3"/>
      <c r="E56" s="4" t="s">
        <v>22</v>
      </c>
      <c r="F56" s="4" t="s">
        <v>119</v>
      </c>
      <c r="G56" s="4" t="s">
        <v>119</v>
      </c>
      <c r="H56" s="4" t="s">
        <v>25</v>
      </c>
      <c r="I56" s="4" t="s">
        <v>26</v>
      </c>
      <c r="J56" s="3">
        <v>3</v>
      </c>
      <c r="K56" s="3">
        <v>25</v>
      </c>
      <c r="L56" s="3">
        <v>22</v>
      </c>
      <c r="M56" s="3">
        <v>0</v>
      </c>
      <c r="N56" s="3">
        <v>1</v>
      </c>
      <c r="O56" s="3">
        <v>2</v>
      </c>
      <c r="P56" s="3">
        <f t="shared" si="3"/>
        <v>0</v>
      </c>
      <c r="Q56" s="3">
        <f t="shared" si="4"/>
        <v>91.6666666666667</v>
      </c>
      <c r="R56" s="3">
        <f t="shared" si="5"/>
        <v>8.33333333333333</v>
      </c>
      <c r="S56" s="3"/>
      <c r="T56" s="3"/>
      <c r="U56" s="3"/>
      <c r="V56" s="3"/>
      <c r="W56" s="3"/>
      <c r="X56" s="3"/>
      <c r="Y56" s="3"/>
      <c r="Z56" s="3"/>
    </row>
    <row r="57" ht="13.5" customHeight="1" spans="1:26">
      <c r="A57" s="4" t="s">
        <v>93</v>
      </c>
      <c r="B57" s="3">
        <v>1661</v>
      </c>
      <c r="C57" s="3">
        <v>10216</v>
      </c>
      <c r="D57" s="3"/>
      <c r="E57" s="4" t="s">
        <v>22</v>
      </c>
      <c r="F57" s="4" t="s">
        <v>119</v>
      </c>
      <c r="G57" s="4" t="s">
        <v>119</v>
      </c>
      <c r="H57" s="4" t="s">
        <v>25</v>
      </c>
      <c r="I57" s="4" t="s">
        <v>26</v>
      </c>
      <c r="J57" s="3">
        <v>4</v>
      </c>
      <c r="K57" s="3">
        <v>20</v>
      </c>
      <c r="L57" s="3">
        <v>17</v>
      </c>
      <c r="M57" s="3">
        <v>1</v>
      </c>
      <c r="N57" s="3">
        <v>0</v>
      </c>
      <c r="O57" s="3">
        <v>2</v>
      </c>
      <c r="P57" s="3">
        <f t="shared" si="3"/>
        <v>0</v>
      </c>
      <c r="Q57" s="3">
        <f t="shared" si="4"/>
        <v>85</v>
      </c>
      <c r="R57" s="3">
        <f t="shared" si="5"/>
        <v>10</v>
      </c>
      <c r="S57" s="3"/>
      <c r="T57" s="3"/>
      <c r="U57" s="3"/>
      <c r="V57" s="3"/>
      <c r="W57" s="3"/>
      <c r="X57" s="3"/>
      <c r="Y57" s="3"/>
      <c r="Z57" s="3"/>
    </row>
    <row r="58" ht="13.5" customHeight="1" spans="1:26">
      <c r="A58" s="4" t="s">
        <v>84</v>
      </c>
      <c r="B58" s="3">
        <v>1177</v>
      </c>
      <c r="C58" s="3">
        <v>8175</v>
      </c>
      <c r="D58" s="3"/>
      <c r="E58" s="4" t="s">
        <v>38</v>
      </c>
      <c r="F58" s="4" t="s">
        <v>87</v>
      </c>
      <c r="G58" s="4" t="s">
        <v>87</v>
      </c>
      <c r="H58" s="4" t="s">
        <v>40</v>
      </c>
      <c r="I58" s="4" t="s">
        <v>156</v>
      </c>
      <c r="J58" s="3">
        <v>1</v>
      </c>
      <c r="K58" s="3">
        <v>25</v>
      </c>
      <c r="L58" s="3">
        <v>6</v>
      </c>
      <c r="M58" s="3">
        <v>1</v>
      </c>
      <c r="N58" s="3">
        <v>0</v>
      </c>
      <c r="O58" s="3">
        <v>18</v>
      </c>
      <c r="P58" s="3">
        <f t="shared" si="3"/>
        <v>0</v>
      </c>
      <c r="Q58" s="3">
        <f t="shared" si="4"/>
        <v>24</v>
      </c>
      <c r="R58" s="3">
        <f t="shared" si="5"/>
        <v>72</v>
      </c>
      <c r="S58" s="3">
        <f>AVERAGE(Q58:Q61)</f>
        <v>13.62104743083</v>
      </c>
      <c r="T58" s="3"/>
      <c r="U58" s="3"/>
      <c r="V58" s="3"/>
      <c r="W58" s="3"/>
      <c r="X58" s="3"/>
      <c r="Y58" s="3"/>
      <c r="Z58" s="3"/>
    </row>
    <row r="59" ht="13.5" customHeight="1" spans="1:26">
      <c r="A59" s="4" t="s">
        <v>84</v>
      </c>
      <c r="B59" s="3">
        <v>1177</v>
      </c>
      <c r="C59" s="3">
        <v>8175</v>
      </c>
      <c r="D59" s="3"/>
      <c r="E59" s="4" t="s">
        <v>38</v>
      </c>
      <c r="F59" s="4" t="s">
        <v>87</v>
      </c>
      <c r="G59" s="4" t="s">
        <v>87</v>
      </c>
      <c r="H59" s="4" t="s">
        <v>40</v>
      </c>
      <c r="I59" s="4" t="s">
        <v>156</v>
      </c>
      <c r="J59" s="3">
        <v>2</v>
      </c>
      <c r="K59" s="3">
        <v>25</v>
      </c>
      <c r="L59" s="3">
        <v>3</v>
      </c>
      <c r="M59" s="3">
        <v>6</v>
      </c>
      <c r="N59" s="3">
        <v>1</v>
      </c>
      <c r="O59" s="3">
        <v>15</v>
      </c>
      <c r="P59" s="3">
        <f t="shared" si="3"/>
        <v>0</v>
      </c>
      <c r="Q59" s="3">
        <f t="shared" si="4"/>
        <v>12.5</v>
      </c>
      <c r="R59" s="3">
        <f t="shared" si="5"/>
        <v>62.5</v>
      </c>
      <c r="S59" s="3"/>
      <c r="T59" s="3"/>
      <c r="U59" s="3"/>
      <c r="V59" s="3"/>
      <c r="W59" s="3"/>
      <c r="X59" s="3"/>
      <c r="Y59" s="3"/>
      <c r="Z59" s="3"/>
    </row>
    <row r="60" ht="13.5" customHeight="1" spans="1:26">
      <c r="A60" s="4" t="s">
        <v>84</v>
      </c>
      <c r="B60" s="3">
        <v>1177</v>
      </c>
      <c r="C60" s="3">
        <v>8175</v>
      </c>
      <c r="D60" s="3"/>
      <c r="E60" s="4" t="s">
        <v>38</v>
      </c>
      <c r="F60" s="4" t="s">
        <v>87</v>
      </c>
      <c r="G60" s="4" t="s">
        <v>87</v>
      </c>
      <c r="H60" s="4" t="s">
        <v>40</v>
      </c>
      <c r="I60" s="4" t="s">
        <v>156</v>
      </c>
      <c r="J60" s="3">
        <v>3</v>
      </c>
      <c r="K60" s="3">
        <v>25</v>
      </c>
      <c r="L60" s="3">
        <v>1</v>
      </c>
      <c r="M60" s="3">
        <v>8</v>
      </c>
      <c r="N60" s="3">
        <v>2</v>
      </c>
      <c r="O60" s="3">
        <v>14</v>
      </c>
      <c r="P60" s="3">
        <f t="shared" si="3"/>
        <v>0</v>
      </c>
      <c r="Q60" s="3">
        <f t="shared" si="4"/>
        <v>4.34782608695652</v>
      </c>
      <c r="R60" s="3">
        <f t="shared" si="5"/>
        <v>60.8695652173913</v>
      </c>
      <c r="S60" s="3"/>
      <c r="T60" s="3"/>
      <c r="U60" s="3"/>
      <c r="V60" s="3"/>
      <c r="W60" s="3"/>
      <c r="X60" s="3"/>
      <c r="Y60" s="3"/>
      <c r="Z60" s="3"/>
    </row>
    <row r="61" ht="13.5" customHeight="1" spans="1:26">
      <c r="A61" s="4" t="s">
        <v>84</v>
      </c>
      <c r="B61" s="3">
        <v>1177</v>
      </c>
      <c r="C61" s="3">
        <v>8175</v>
      </c>
      <c r="D61" s="3"/>
      <c r="E61" s="4" t="s">
        <v>38</v>
      </c>
      <c r="F61" s="4" t="s">
        <v>87</v>
      </c>
      <c r="G61" s="4" t="s">
        <v>87</v>
      </c>
      <c r="H61" s="4" t="s">
        <v>40</v>
      </c>
      <c r="I61" s="4" t="s">
        <v>156</v>
      </c>
      <c r="J61" s="3">
        <v>4</v>
      </c>
      <c r="K61" s="3">
        <v>25</v>
      </c>
      <c r="L61" s="3">
        <v>3</v>
      </c>
      <c r="M61" s="3">
        <v>8</v>
      </c>
      <c r="N61" s="3">
        <v>3</v>
      </c>
      <c r="O61" s="3">
        <v>11</v>
      </c>
      <c r="P61" s="3">
        <f t="shared" si="3"/>
        <v>0</v>
      </c>
      <c r="Q61" s="3">
        <f t="shared" si="4"/>
        <v>13.6363636363636</v>
      </c>
      <c r="R61" s="3">
        <f t="shared" si="5"/>
        <v>50</v>
      </c>
      <c r="S61" s="3"/>
      <c r="T61" s="3"/>
      <c r="U61" s="3"/>
      <c r="V61" s="3"/>
      <c r="W61" s="3"/>
      <c r="X61" s="3"/>
      <c r="Y61" s="3"/>
      <c r="Z61" s="3"/>
    </row>
    <row r="62" ht="13.5" customHeight="1" spans="1:26">
      <c r="A62" s="4" t="s">
        <v>93</v>
      </c>
      <c r="B62" s="3">
        <v>1661</v>
      </c>
      <c r="C62" s="3">
        <v>10216</v>
      </c>
      <c r="D62" s="3"/>
      <c r="E62" s="4" t="s">
        <v>33</v>
      </c>
      <c r="F62" s="4" t="s">
        <v>110</v>
      </c>
      <c r="G62" s="4" t="s">
        <v>111</v>
      </c>
      <c r="H62" s="4" t="s">
        <v>40</v>
      </c>
      <c r="I62" s="4" t="s">
        <v>156</v>
      </c>
      <c r="J62" s="3">
        <v>1</v>
      </c>
      <c r="K62" s="3">
        <v>25</v>
      </c>
      <c r="L62" s="3">
        <v>23</v>
      </c>
      <c r="M62" s="3">
        <v>0</v>
      </c>
      <c r="N62" s="3">
        <v>2</v>
      </c>
      <c r="O62" s="3">
        <v>0</v>
      </c>
      <c r="P62" s="3">
        <f t="shared" si="3"/>
        <v>0</v>
      </c>
      <c r="Q62" s="3">
        <f t="shared" si="4"/>
        <v>100</v>
      </c>
      <c r="R62" s="3">
        <f t="shared" si="5"/>
        <v>0</v>
      </c>
      <c r="S62" s="3">
        <f>AVERAGE(Q62:Q65)</f>
        <v>100</v>
      </c>
      <c r="T62" s="3"/>
      <c r="U62" s="3"/>
      <c r="V62" s="3"/>
      <c r="W62" s="3"/>
      <c r="X62" s="3"/>
      <c r="Y62" s="3"/>
      <c r="Z62" s="3"/>
    </row>
    <row r="63" ht="13.5" customHeight="1" spans="1:26">
      <c r="A63" s="4" t="s">
        <v>93</v>
      </c>
      <c r="B63" s="3">
        <v>1661</v>
      </c>
      <c r="C63" s="3">
        <v>10216</v>
      </c>
      <c r="D63" s="3"/>
      <c r="E63" s="4" t="s">
        <v>33</v>
      </c>
      <c r="F63" s="4" t="s">
        <v>110</v>
      </c>
      <c r="G63" s="4" t="s">
        <v>111</v>
      </c>
      <c r="H63" s="4" t="s">
        <v>40</v>
      </c>
      <c r="I63" s="4" t="s">
        <v>156</v>
      </c>
      <c r="J63" s="3">
        <v>2</v>
      </c>
      <c r="K63" s="3">
        <v>25</v>
      </c>
      <c r="L63" s="3">
        <v>22</v>
      </c>
      <c r="M63" s="3">
        <v>0</v>
      </c>
      <c r="N63" s="3">
        <v>3</v>
      </c>
      <c r="O63" s="3">
        <v>0</v>
      </c>
      <c r="P63" s="3">
        <f t="shared" si="3"/>
        <v>0</v>
      </c>
      <c r="Q63" s="3">
        <f t="shared" si="4"/>
        <v>100</v>
      </c>
      <c r="R63" s="3">
        <f t="shared" si="5"/>
        <v>0</v>
      </c>
      <c r="S63" s="3"/>
      <c r="T63" s="3"/>
      <c r="U63" s="3"/>
      <c r="V63" s="3"/>
      <c r="W63" s="3"/>
      <c r="X63" s="3"/>
      <c r="Y63" s="3"/>
      <c r="Z63" s="3"/>
    </row>
    <row r="64" ht="13.5" customHeight="1" spans="1:26">
      <c r="A64" s="4" t="s">
        <v>93</v>
      </c>
      <c r="B64" s="3">
        <v>1661</v>
      </c>
      <c r="C64" s="3">
        <v>10216</v>
      </c>
      <c r="D64" s="3"/>
      <c r="E64" s="4" t="s">
        <v>33</v>
      </c>
      <c r="F64" s="4" t="s">
        <v>110</v>
      </c>
      <c r="G64" s="4" t="s">
        <v>111</v>
      </c>
      <c r="H64" s="4" t="s">
        <v>40</v>
      </c>
      <c r="I64" s="4" t="s">
        <v>156</v>
      </c>
      <c r="J64" s="3">
        <v>3</v>
      </c>
      <c r="K64" s="3">
        <v>25</v>
      </c>
      <c r="L64" s="3">
        <v>20</v>
      </c>
      <c r="M64" s="3">
        <v>0</v>
      </c>
      <c r="N64" s="3">
        <v>5</v>
      </c>
      <c r="O64" s="3">
        <v>0</v>
      </c>
      <c r="P64" s="3">
        <f t="shared" si="3"/>
        <v>0</v>
      </c>
      <c r="Q64" s="3">
        <f t="shared" si="4"/>
        <v>100</v>
      </c>
      <c r="R64" s="3">
        <f t="shared" si="5"/>
        <v>0</v>
      </c>
      <c r="S64" s="3"/>
      <c r="T64" s="3"/>
      <c r="U64" s="3"/>
      <c r="V64" s="3"/>
      <c r="W64" s="3"/>
      <c r="X64" s="3"/>
      <c r="Y64" s="3"/>
      <c r="Z64" s="3"/>
    </row>
    <row r="65" ht="13.5" customHeight="1" spans="1:26">
      <c r="A65" s="4" t="s">
        <v>93</v>
      </c>
      <c r="B65" s="3">
        <v>1661</v>
      </c>
      <c r="C65" s="3">
        <v>10216</v>
      </c>
      <c r="D65" s="3"/>
      <c r="E65" s="4" t="s">
        <v>33</v>
      </c>
      <c r="F65" s="4" t="s">
        <v>110</v>
      </c>
      <c r="G65" s="4" t="s">
        <v>111</v>
      </c>
      <c r="H65" s="4" t="s">
        <v>40</v>
      </c>
      <c r="I65" s="4" t="s">
        <v>156</v>
      </c>
      <c r="J65" s="3">
        <v>4</v>
      </c>
      <c r="K65" s="3">
        <v>25</v>
      </c>
      <c r="L65" s="3">
        <v>22</v>
      </c>
      <c r="M65" s="3">
        <v>0</v>
      </c>
      <c r="N65" s="3">
        <v>3</v>
      </c>
      <c r="O65" s="3">
        <v>0</v>
      </c>
      <c r="P65" s="3">
        <f t="shared" si="3"/>
        <v>0</v>
      </c>
      <c r="Q65" s="3">
        <f t="shared" si="4"/>
        <v>100</v>
      </c>
      <c r="R65" s="3">
        <f t="shared" si="5"/>
        <v>0</v>
      </c>
      <c r="S65" s="3"/>
      <c r="T65" s="3"/>
      <c r="U65" s="3"/>
      <c r="V65" s="3"/>
      <c r="W65" s="3"/>
      <c r="X65" s="3"/>
      <c r="Y65" s="3"/>
      <c r="Z65" s="3"/>
    </row>
    <row r="66" ht="13.5" customHeight="1" spans="1:26">
      <c r="A66" s="4" t="s">
        <v>93</v>
      </c>
      <c r="B66" s="3">
        <v>1661</v>
      </c>
      <c r="C66" s="3">
        <v>10216</v>
      </c>
      <c r="D66" s="3"/>
      <c r="E66" s="4" t="s">
        <v>22</v>
      </c>
      <c r="F66" s="4" t="s">
        <v>119</v>
      </c>
      <c r="G66" s="4" t="s">
        <v>119</v>
      </c>
      <c r="H66" s="4" t="s">
        <v>25</v>
      </c>
      <c r="I66" s="4" t="s">
        <v>156</v>
      </c>
      <c r="J66" s="3">
        <v>1</v>
      </c>
      <c r="K66" s="3">
        <v>25</v>
      </c>
      <c r="L66" s="3">
        <v>23</v>
      </c>
      <c r="M66" s="3">
        <v>1</v>
      </c>
      <c r="N66" s="3">
        <v>1</v>
      </c>
      <c r="O66" s="3">
        <v>0</v>
      </c>
      <c r="P66" s="3">
        <f t="shared" si="3"/>
        <v>0</v>
      </c>
      <c r="Q66" s="3">
        <f t="shared" si="4"/>
        <v>95.8333333333333</v>
      </c>
      <c r="R66" s="3">
        <f t="shared" si="5"/>
        <v>0</v>
      </c>
      <c r="S66" s="3">
        <f>AVERAGE(Q66:Q69)</f>
        <v>90.7916666666667</v>
      </c>
      <c r="T66" s="3"/>
      <c r="U66" s="3"/>
      <c r="V66" s="3"/>
      <c r="W66" s="3"/>
      <c r="X66" s="3"/>
      <c r="Y66" s="3"/>
      <c r="Z66" s="3"/>
    </row>
    <row r="67" ht="13.5" customHeight="1" spans="1:26">
      <c r="A67" s="4" t="s">
        <v>93</v>
      </c>
      <c r="B67" s="3">
        <v>1661</v>
      </c>
      <c r="C67" s="3">
        <v>10216</v>
      </c>
      <c r="D67" s="3"/>
      <c r="E67" s="4" t="s">
        <v>22</v>
      </c>
      <c r="F67" s="4" t="s">
        <v>119</v>
      </c>
      <c r="G67" s="4" t="s">
        <v>119</v>
      </c>
      <c r="H67" s="4" t="s">
        <v>25</v>
      </c>
      <c r="I67" s="4" t="s">
        <v>156</v>
      </c>
      <c r="J67" s="3">
        <v>2</v>
      </c>
      <c r="K67" s="3">
        <v>25</v>
      </c>
      <c r="L67" s="3">
        <v>22</v>
      </c>
      <c r="M67" s="3">
        <v>3</v>
      </c>
      <c r="N67" s="3">
        <v>0</v>
      </c>
      <c r="O67" s="3">
        <v>0</v>
      </c>
      <c r="P67" s="3">
        <f t="shared" si="3"/>
        <v>0</v>
      </c>
      <c r="Q67" s="3">
        <f t="shared" si="4"/>
        <v>88</v>
      </c>
      <c r="R67" s="3">
        <f t="shared" si="5"/>
        <v>0</v>
      </c>
      <c r="S67" s="3"/>
      <c r="T67" s="3"/>
      <c r="U67" s="3"/>
      <c r="V67" s="3"/>
      <c r="W67" s="3"/>
      <c r="X67" s="3"/>
      <c r="Y67" s="3"/>
      <c r="Z67" s="3"/>
    </row>
    <row r="68" ht="13.5" customHeight="1" spans="1:26">
      <c r="A68" s="4" t="s">
        <v>93</v>
      </c>
      <c r="B68" s="3">
        <v>1661</v>
      </c>
      <c r="C68" s="3">
        <v>10216</v>
      </c>
      <c r="D68" s="3"/>
      <c r="E68" s="4" t="s">
        <v>22</v>
      </c>
      <c r="F68" s="4" t="s">
        <v>119</v>
      </c>
      <c r="G68" s="4" t="s">
        <v>119</v>
      </c>
      <c r="H68" s="4" t="s">
        <v>25</v>
      </c>
      <c r="I68" s="4" t="s">
        <v>156</v>
      </c>
      <c r="J68" s="3">
        <v>3</v>
      </c>
      <c r="K68" s="3">
        <v>25</v>
      </c>
      <c r="L68" s="3">
        <v>20</v>
      </c>
      <c r="M68" s="3">
        <v>4</v>
      </c>
      <c r="N68" s="3">
        <v>1</v>
      </c>
      <c r="O68" s="3">
        <v>0</v>
      </c>
      <c r="P68" s="3">
        <f t="shared" si="3"/>
        <v>0</v>
      </c>
      <c r="Q68" s="3">
        <f t="shared" si="4"/>
        <v>83.3333333333333</v>
      </c>
      <c r="R68" s="3">
        <f t="shared" si="5"/>
        <v>0</v>
      </c>
      <c r="S68" s="3"/>
      <c r="T68" s="3"/>
      <c r="U68" s="3"/>
      <c r="V68" s="3"/>
      <c r="W68" s="3"/>
      <c r="X68" s="3"/>
      <c r="Y68" s="3"/>
      <c r="Z68" s="3"/>
    </row>
    <row r="69" ht="13.5" customHeight="1" spans="1:26">
      <c r="A69" s="4" t="s">
        <v>93</v>
      </c>
      <c r="B69" s="3">
        <v>1661</v>
      </c>
      <c r="C69" s="3">
        <v>10216</v>
      </c>
      <c r="D69" s="3"/>
      <c r="E69" s="4" t="s">
        <v>22</v>
      </c>
      <c r="F69" s="4" t="s">
        <v>119</v>
      </c>
      <c r="G69" s="4" t="s">
        <v>119</v>
      </c>
      <c r="H69" s="4" t="s">
        <v>25</v>
      </c>
      <c r="I69" s="4" t="s">
        <v>156</v>
      </c>
      <c r="J69" s="3">
        <v>4</v>
      </c>
      <c r="K69" s="3">
        <v>25</v>
      </c>
      <c r="L69" s="3">
        <v>24</v>
      </c>
      <c r="M69" s="3">
        <v>1</v>
      </c>
      <c r="N69" s="3">
        <v>0</v>
      </c>
      <c r="O69" s="3">
        <v>0</v>
      </c>
      <c r="P69" s="3">
        <f t="shared" si="3"/>
        <v>0</v>
      </c>
      <c r="Q69" s="3">
        <f t="shared" si="4"/>
        <v>96</v>
      </c>
      <c r="R69" s="3">
        <f t="shared" si="5"/>
        <v>0</v>
      </c>
      <c r="S69" s="3"/>
      <c r="T69" s="3"/>
      <c r="U69" s="3"/>
      <c r="V69" s="3"/>
      <c r="W69" s="3"/>
      <c r="X69" s="3"/>
      <c r="Y69" s="3"/>
      <c r="Z69" s="3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germ_data</vt:lpstr>
      <vt:lpstr>silinenler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utku</cp:lastModifiedBy>
  <dcterms:created xsi:type="dcterms:W3CDTF">2025-05-06T10:12:00Z</dcterms:created>
  <dcterms:modified xsi:type="dcterms:W3CDTF">2026-03-05T18:48:03Z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130CE5B987BD4A848C6527DF9121BDBA_13</vt:lpwstr>
  </property>
  <property fmtid="{D5CDD505-2E9C-101B-9397-08002B2CF9AE}" pid="3" name="KSOProductBuildVer">
    <vt:lpwstr>1033-12.2.0.22549</vt:lpwstr>
  </property>
</Properties>
</file>